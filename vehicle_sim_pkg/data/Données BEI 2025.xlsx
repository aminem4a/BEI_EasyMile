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iciency Orig" sheetId="1" r:id="rId4"/>
    <sheet state="visible" name="Efficiency randomly modified" sheetId="2" r:id="rId5"/>
    <sheet state="visible" name="Efficiency frozen modification" sheetId="3" r:id="rId6"/>
    <sheet state="visible" name="Carac Orig" sheetId="4" r:id="rId7"/>
    <sheet state="visible" name="Carac randomly modified" sheetId="5" r:id="rId8"/>
    <sheet state="visible" name="Carac frozen modification" sheetId="6" r:id="rId9"/>
  </sheets>
  <definedNames/>
  <calcPr/>
</workbook>
</file>

<file path=xl/sharedStrings.xml><?xml version="1.0" encoding="utf-8"?>
<sst xmlns="http://schemas.openxmlformats.org/spreadsheetml/2006/main" count="40" uniqueCount="13">
  <si>
    <t>Vitesse (RPM)</t>
  </si>
  <si>
    <t>Couple (Nm)</t>
  </si>
  <si>
    <t>Cos φ</t>
  </si>
  <si>
    <t>Cat</t>
  </si>
  <si>
    <t>Size</t>
  </si>
  <si>
    <t>data for bubble format</t>
  </si>
  <si>
    <t>Puissance 5 min (W)</t>
  </si>
  <si>
    <t>Couple 5 min (Nm)</t>
  </si>
  <si>
    <t>Puissance 30 min (W)</t>
  </si>
  <si>
    <t>Couple 30 min (Nm)</t>
  </si>
  <si>
    <t>Puissance 60 min (W)</t>
  </si>
  <si>
    <t>Couple 60 min (Nm)</t>
  </si>
  <si>
    <t>facteur random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</si>
</sst>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9" fillId="0" fontId="2" numFmtId="0" xfId="0" applyAlignment="1" applyBorder="1" applyFont="1">
      <alignment horizontal="right" readingOrder="0" shrinkToFit="0" vertical="bottom" wrapText="0"/>
    </xf>
    <xf borderId="10" fillId="0" fontId="2" numFmtId="0" xfId="0" applyAlignment="1" applyBorder="1" applyFont="1">
      <alignment horizontal="right" readingOrder="0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11" fillId="0" fontId="2" numFmtId="0" xfId="0" applyAlignment="1" applyBorder="1" applyFont="1">
      <alignment horizontal="right" shrinkToFit="0" vertical="bottom" wrapText="0"/>
    </xf>
    <xf borderId="12" fillId="0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13" fillId="0" fontId="2" numFmtId="0" xfId="0" applyAlignment="1" applyBorder="1" applyFont="1">
      <alignment horizontal="left" readingOrder="0" shrinkToFit="0" vertical="bottom" wrapText="0"/>
    </xf>
    <xf borderId="14" fillId="0" fontId="2" numFmtId="0" xfId="0" applyAlignment="1" applyBorder="1" applyFont="1">
      <alignment horizontal="left" readingOrder="0" shrinkToFit="0" vertical="bottom" wrapText="0"/>
    </xf>
    <xf borderId="14" fillId="0" fontId="2" numFmtId="1" xfId="0" applyAlignment="1" applyBorder="1" applyFont="1" applyNumberFormat="1">
      <alignment horizontal="left" readingOrder="0" shrinkToFit="0" vertical="bottom" wrapText="0"/>
    </xf>
    <xf borderId="15" fillId="0" fontId="2" numFmtId="0" xfId="0" applyAlignment="1" applyBorder="1" applyFont="1">
      <alignment horizontal="left" readingOrder="0" shrinkToFit="0" vertical="bottom" wrapText="0"/>
    </xf>
    <xf borderId="16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1" xfId="0" applyAlignment="1" applyBorder="1" applyFont="1" applyNumberFormat="1">
      <alignment readingOrder="0" shrinkToFit="0" vertical="bottom" wrapText="0"/>
    </xf>
    <xf borderId="5" fillId="2" fontId="3" numFmtId="0" xfId="0" applyAlignment="1" applyBorder="1" applyFill="1" applyFont="1">
      <alignment horizontal="right" readingOrder="0" shrinkToFit="0" vertical="bottom" wrapText="0"/>
    </xf>
    <xf borderId="17" fillId="0" fontId="2" numFmtId="0" xfId="0" applyAlignment="1" applyBorder="1" applyFont="1">
      <alignment horizontal="right" readingOrder="0" shrinkToFit="0" vertical="bottom" wrapText="0"/>
    </xf>
    <xf borderId="18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8" fillId="0" fontId="2" numFmtId="1" xfId="0" applyAlignment="1" applyBorder="1" applyFont="1" applyNumberFormat="1">
      <alignment readingOrder="0" shrinkToFit="0" vertical="bottom" wrapText="0"/>
    </xf>
    <xf borderId="8" fillId="3" fontId="3" numFmtId="0" xfId="0" applyAlignment="1" applyBorder="1" applyFill="1" applyFont="1">
      <alignment horizontal="right" readingOrder="0" shrinkToFit="0" vertical="bottom" wrapText="0"/>
    </xf>
    <xf borderId="19" fillId="0" fontId="2" numFmtId="0" xfId="0" applyAlignment="1" applyBorder="1" applyFont="1">
      <alignment horizontal="right" readingOrder="0" shrinkToFit="0" vertical="bottom" wrapText="0"/>
    </xf>
    <xf borderId="16" fillId="0" fontId="2" numFmtId="0" xfId="0" applyAlignment="1" applyBorder="1" applyFont="1">
      <alignment horizontal="right" shrinkToFit="0" vertical="bottom" wrapText="0"/>
    </xf>
    <xf borderId="5" fillId="2" fontId="3" numFmtId="0" xfId="0" applyAlignment="1" applyBorder="1" applyFont="1">
      <alignment horizontal="right" shrinkToFit="0" vertical="bottom" wrapText="0"/>
    </xf>
    <xf borderId="18" fillId="0" fontId="2" numFmtId="0" xfId="0" applyAlignment="1" applyBorder="1" applyFont="1">
      <alignment horizontal="right" readingOrder="0" shrinkToFit="0" vertical="bottom" wrapText="0"/>
    </xf>
    <xf borderId="5" fillId="0" fontId="2" numFmtId="1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20" fillId="0" fontId="2" numFmtId="0" xfId="0" applyAlignment="1" applyBorder="1" applyFont="1">
      <alignment horizontal="right" shrinkToFit="0" vertical="bottom" wrapText="0"/>
    </xf>
    <xf borderId="21" fillId="0" fontId="2" numFmtId="0" xfId="0" applyAlignment="1" applyBorder="1" applyFont="1">
      <alignment horizontal="right" readingOrder="0" shrinkToFit="0" vertical="bottom" wrapText="0"/>
    </xf>
    <xf borderId="21" fillId="0" fontId="2" numFmtId="1" xfId="0" applyAlignment="1" applyBorder="1" applyFont="1" applyNumberFormat="1">
      <alignment readingOrder="0" shrinkToFit="0" vertical="bottom" wrapText="0"/>
    </xf>
    <xf borderId="22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7" fillId="0" fontId="2" numFmtId="1" xfId="0" applyAlignment="1" applyBorder="1" applyFont="1" applyNumberFormat="1">
      <alignment readingOrder="0" shrinkToFit="0" vertical="bottom" wrapText="0"/>
    </xf>
    <xf borderId="19" fillId="0" fontId="2" numFmtId="1" xfId="0" applyAlignment="1" applyBorder="1" applyFont="1" applyNumberFormat="1">
      <alignment readingOrder="0" shrinkToFit="0" vertical="bottom" wrapText="0"/>
    </xf>
    <xf borderId="20" fillId="0" fontId="2" numFmtId="0" xfId="0" applyAlignment="1" applyBorder="1" applyFont="1">
      <alignment horizontal="right" readingOrder="0" shrinkToFit="0" vertical="bottom" wrapText="0"/>
    </xf>
    <xf borderId="22" fillId="0" fontId="2" numFmtId="1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vertical="bottom"/>
    </xf>
    <xf borderId="13" fillId="0" fontId="2" numFmtId="0" xfId="0" applyAlignment="1" applyBorder="1" applyFont="1">
      <alignment horizontal="left" readingOrder="0" shrinkToFit="0" vertical="bottom" wrapText="0"/>
    </xf>
    <xf borderId="14" fillId="0" fontId="2" numFmtId="0" xfId="0" applyAlignment="1" applyBorder="1" applyFont="1">
      <alignment horizontal="left" readingOrder="0" shrinkToFit="0" vertical="bottom" wrapText="0"/>
    </xf>
    <xf borderId="14" fillId="0" fontId="2" numFmtId="1" xfId="0" applyAlignment="1" applyBorder="1" applyFont="1" applyNumberFormat="1">
      <alignment horizontal="left" readingOrder="0" shrinkToFit="0" vertical="bottom" wrapText="0"/>
    </xf>
    <xf borderId="15" fillId="0" fontId="2" numFmtId="0" xfId="0" applyAlignment="1" applyBorder="1" applyFont="1">
      <alignment horizontal="left" readingOrder="0" shrinkToFit="0" vertical="bottom" wrapText="0"/>
    </xf>
    <xf borderId="16" fillId="0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5" fillId="0" fontId="2" numFmtId="1" xfId="0" applyAlignment="1" applyBorder="1" applyFont="1" applyNumberFormat="1">
      <alignment shrinkToFit="0" vertical="bottom" wrapText="0"/>
    </xf>
    <xf borderId="17" fillId="0" fontId="2" numFmtId="1" xfId="0" applyAlignment="1" applyBorder="1" applyFont="1" applyNumberFormat="1">
      <alignment shrinkToFit="0" vertical="bottom" wrapText="0"/>
    </xf>
    <xf borderId="18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8" fillId="0" fontId="2" numFmtId="1" xfId="0" applyAlignment="1" applyBorder="1" applyFont="1" applyNumberFormat="1">
      <alignment shrinkToFit="0" vertical="bottom" wrapText="0"/>
    </xf>
    <xf borderId="19" fillId="0" fontId="2" numFmtId="1" xfId="0" applyAlignment="1" applyBorder="1" applyFont="1" applyNumberFormat="1">
      <alignment shrinkToFit="0" vertical="bottom" wrapText="0"/>
    </xf>
    <xf borderId="20" fillId="0" fontId="2" numFmtId="0" xfId="0" applyAlignment="1" applyBorder="1" applyFont="1">
      <alignment horizontal="right" shrinkToFit="0" vertical="bottom" wrapText="0"/>
    </xf>
    <xf borderId="21" fillId="0" fontId="2" numFmtId="0" xfId="0" applyAlignment="1" applyBorder="1" applyFont="1">
      <alignment horizontal="right" shrinkToFit="0" vertical="bottom" wrapText="0"/>
    </xf>
    <xf borderId="21" fillId="0" fontId="2" numFmtId="1" xfId="0" applyAlignment="1" applyBorder="1" applyFont="1" applyNumberFormat="1">
      <alignment shrinkToFit="0" vertical="bottom" wrapText="0"/>
    </xf>
    <xf borderId="22" fillId="0" fontId="2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6">
    <tableStyle count="3" pivot="0" name="Efficiency Orig-style">
      <tableStyleElement dxfId="1" type="headerRow"/>
      <tableStyleElement dxfId="2" type="firstRowStripe"/>
      <tableStyleElement dxfId="3" type="secondRowStripe"/>
    </tableStyle>
    <tableStyle count="3" pivot="0" name="Efficiency randomly modified-style">
      <tableStyleElement dxfId="1" type="headerRow"/>
      <tableStyleElement dxfId="2" type="firstRowStripe"/>
      <tableStyleElement dxfId="3" type="secondRowStripe"/>
    </tableStyle>
    <tableStyle count="3" pivot="0" name="Efficiency frozen modification-style">
      <tableStyleElement dxfId="1" type="headerRow"/>
      <tableStyleElement dxfId="2" type="firstRowStripe"/>
      <tableStyleElement dxfId="3" type="secondRowStripe"/>
    </tableStyle>
    <tableStyle count="3" pivot="0" name="Carac Orig-style">
      <tableStyleElement dxfId="4" type="headerRow"/>
      <tableStyleElement dxfId="2" type="firstRowStripe"/>
      <tableStyleElement dxfId="3" type="secondRowStripe"/>
    </tableStyle>
    <tableStyle count="3" pivot="0" name="Carac randomly modified-style">
      <tableStyleElement dxfId="4" type="headerRow"/>
      <tableStyleElement dxfId="2" type="firstRowStripe"/>
      <tableStyleElement dxfId="3" type="secondRowStripe"/>
    </tableStyle>
    <tableStyle count="3" pivot="0" name="Carac frozen modification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Champ d'Efficacité Moteur</a:t>
            </a:r>
          </a:p>
        </c:rich>
      </c:tx>
      <c:layout>
        <c:manualLayout>
          <c:xMode val="edge"/>
          <c:yMode val="edge"/>
          <c:x val="0.03004149377593361"/>
          <c:y val="0.047237569060773484"/>
        </c:manualLayout>
      </c:layout>
      <c:overlay val="0"/>
    </c:title>
    <c:plotArea>
      <c:layout/>
      <c:bubbleChart>
        <c:ser>
          <c:idx val="0"/>
          <c:order val="0"/>
          <c:tx>
            <c:v>Cos φ &lt;= 0.5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</c:f>
            </c:strRef>
          </c:xVal>
          <c:yVal>
            <c:numRef>
              <c:f>'Efficiency Orig'!$D$2</c:f>
              <c:numCache/>
            </c:numRef>
          </c:yVal>
          <c:bubbleSize>
            <c:numRef>
              <c:f>'Efficiency Orig'!$E$2</c:f>
            </c:numRef>
          </c:bubbleSize>
        </c:ser>
        <c:ser>
          <c:idx val="1"/>
          <c:order val="1"/>
          <c:tx>
            <c:v>0.5 &lt; Cos φ &lt;= 0.7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</c:f>
            </c:strRef>
          </c:xVal>
          <c:yVal>
            <c:numRef>
              <c:f>'Efficiency Orig'!$D$3</c:f>
              <c:numCache/>
            </c:numRef>
          </c:yVal>
          <c:bubbleSize>
            <c:numRef>
              <c:f>'Efficiency Orig'!$E$3</c:f>
            </c:numRef>
          </c:bubbleSize>
        </c:ser>
        <c:ser>
          <c:idx val="2"/>
          <c:order val="2"/>
          <c:tx>
            <c:v>0.7 &lt; Cos φ &lt;= 0.8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</c:f>
            </c:strRef>
          </c:xVal>
          <c:yVal>
            <c:numRef>
              <c:f>'Efficiency Orig'!$D$4</c:f>
              <c:numCache/>
            </c:numRef>
          </c:yVal>
          <c:bubbleSize>
            <c:numRef>
              <c:f>'Efficiency Orig'!$E$4</c:f>
            </c:numRef>
          </c:bubbleSize>
        </c:ser>
        <c:ser>
          <c:idx val="3"/>
          <c:order val="3"/>
          <c:tx>
            <c:v>0.8 &lt; Cos φ &lt;= 0.9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</c:f>
            </c:strRef>
          </c:xVal>
          <c:yVal>
            <c:numRef>
              <c:f>'Efficiency Orig'!$D$5</c:f>
              <c:numCache/>
            </c:numRef>
          </c:yVal>
          <c:bubbleSize>
            <c:numRef>
              <c:f>'Efficiency Orig'!$E$5</c:f>
            </c:numRef>
          </c:bubbleSize>
        </c:ser>
        <c:ser>
          <c:idx val="4"/>
          <c:order val="4"/>
          <c:tx>
            <c:v>0.9 &lt; Cos φ &lt;= 1.01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</c:f>
            </c:strRef>
          </c:xVal>
          <c:yVal>
            <c:numRef>
              <c:f>'Efficiency Orig'!$D$6</c:f>
              <c:numCache/>
            </c:numRef>
          </c:yVal>
          <c:bubbleSize>
            <c:numRef>
              <c:f>'Efficiency Orig'!$E$6</c:f>
            </c:numRef>
          </c:bubbleSize>
        </c:ser>
        <c:ser>
          <c:idx val="5"/>
          <c:order val="5"/>
          <c:tx>
            <c:strRef>
              <c:f>'Efficiency Orig'!$A$7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</c:f>
            </c:strRef>
          </c:xVal>
          <c:yVal>
            <c:numRef>
              <c:f>'Efficiency Orig'!$D$7</c:f>
              <c:numCache/>
            </c:numRef>
          </c:yVal>
          <c:bubbleSize>
            <c:numRef>
              <c:f>'Efficiency Orig'!$E$7</c:f>
            </c:numRef>
          </c:bubbleSize>
        </c:ser>
        <c:ser>
          <c:idx val="6"/>
          <c:order val="6"/>
          <c:tx>
            <c:strRef>
              <c:f>'Efficiency Orig'!$A$8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</c:f>
            </c:strRef>
          </c:xVal>
          <c:yVal>
            <c:numRef>
              <c:f>'Efficiency Orig'!$D$8</c:f>
              <c:numCache/>
            </c:numRef>
          </c:yVal>
          <c:bubbleSize>
            <c:numRef>
              <c:f>'Efficiency Orig'!$E$8</c:f>
            </c:numRef>
          </c:bubbleSize>
        </c:ser>
        <c:ser>
          <c:idx val="7"/>
          <c:order val="7"/>
          <c:tx>
            <c:strRef>
              <c:f>'Efficiency Orig'!$A$9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</c:f>
            </c:strRef>
          </c:xVal>
          <c:yVal>
            <c:numRef>
              <c:f>'Efficiency Orig'!$D$9</c:f>
              <c:numCache/>
            </c:numRef>
          </c:yVal>
          <c:bubbleSize>
            <c:numRef>
              <c:f>'Efficiency Orig'!$E$9</c:f>
            </c:numRef>
          </c:bubbleSize>
        </c:ser>
        <c:ser>
          <c:idx val="8"/>
          <c:order val="8"/>
          <c:tx>
            <c:strRef>
              <c:f>'Efficiency Orig'!$A$10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Orig'!$B$10</c:f>
            </c:strRef>
          </c:xVal>
          <c:yVal>
            <c:numRef>
              <c:f>'Efficiency Orig'!$D$10</c:f>
              <c:numCache/>
            </c:numRef>
          </c:yVal>
          <c:bubbleSize>
            <c:numRef>
              <c:f>'Efficiency Orig'!$E$10</c:f>
            </c:numRef>
          </c:bubbleSize>
        </c:ser>
        <c:ser>
          <c:idx val="9"/>
          <c:order val="9"/>
          <c:tx>
            <c:strRef>
              <c:f>'Efficiency Orig'!$A$11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Orig'!$B$11</c:f>
            </c:strRef>
          </c:xVal>
          <c:yVal>
            <c:numRef>
              <c:f>'Efficiency Orig'!$D$11</c:f>
              <c:numCache/>
            </c:numRef>
          </c:yVal>
          <c:bubbleSize>
            <c:numRef>
              <c:f>'Efficiency Orig'!$E$11</c:f>
            </c:numRef>
          </c:bubbleSize>
        </c:ser>
        <c:ser>
          <c:idx val="10"/>
          <c:order val="10"/>
          <c:tx>
            <c:strRef>
              <c:f>'Efficiency Orig'!$A$12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Orig'!$B$12</c:f>
            </c:strRef>
          </c:xVal>
          <c:yVal>
            <c:numRef>
              <c:f>'Efficiency Orig'!$D$12</c:f>
              <c:numCache/>
            </c:numRef>
          </c:yVal>
          <c:bubbleSize>
            <c:numRef>
              <c:f>'Efficiency Orig'!$E$12</c:f>
            </c:numRef>
          </c:bubbleSize>
        </c:ser>
        <c:ser>
          <c:idx val="11"/>
          <c:order val="11"/>
          <c:tx>
            <c:strRef>
              <c:f>'Efficiency Orig'!$A$13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Orig'!$B$13</c:f>
            </c:strRef>
          </c:xVal>
          <c:yVal>
            <c:numRef>
              <c:f>'Efficiency Orig'!$D$13</c:f>
              <c:numCache/>
            </c:numRef>
          </c:yVal>
          <c:bubbleSize>
            <c:numRef>
              <c:f>'Efficiency Orig'!$E$13</c:f>
            </c:numRef>
          </c:bubbleSize>
        </c:ser>
        <c:ser>
          <c:idx val="12"/>
          <c:order val="12"/>
          <c:tx>
            <c:strRef>
              <c:f>'Efficiency Orig'!$A$14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Orig'!$B$14</c:f>
            </c:strRef>
          </c:xVal>
          <c:yVal>
            <c:numRef>
              <c:f>'Efficiency Orig'!$D$14</c:f>
              <c:numCache/>
            </c:numRef>
          </c:yVal>
          <c:bubbleSize>
            <c:numRef>
              <c:f>'Efficiency Orig'!$E$14</c:f>
            </c:numRef>
          </c:bubbleSize>
        </c:ser>
        <c:ser>
          <c:idx val="13"/>
          <c:order val="13"/>
          <c:tx>
            <c:strRef>
              <c:f>'Efficiency Orig'!$A$15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Orig'!$B$15</c:f>
            </c:strRef>
          </c:xVal>
          <c:yVal>
            <c:numRef>
              <c:f>'Efficiency Orig'!$D$15</c:f>
              <c:numCache/>
            </c:numRef>
          </c:yVal>
          <c:bubbleSize>
            <c:numRef>
              <c:f>'Efficiency Orig'!$E$15</c:f>
            </c:numRef>
          </c:bubbleSize>
        </c:ser>
        <c:ser>
          <c:idx val="14"/>
          <c:order val="14"/>
          <c:tx>
            <c:strRef>
              <c:f>'Efficiency Orig'!$A$16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Orig'!$B$16</c:f>
            </c:strRef>
          </c:xVal>
          <c:yVal>
            <c:numRef>
              <c:f>'Efficiency Orig'!$D$16</c:f>
              <c:numCache/>
            </c:numRef>
          </c:yVal>
          <c:bubbleSize>
            <c:numRef>
              <c:f>'Efficiency Orig'!$E$16</c:f>
            </c:numRef>
          </c:bubbleSize>
        </c:ser>
        <c:ser>
          <c:idx val="15"/>
          <c:order val="15"/>
          <c:tx>
            <c:strRef>
              <c:f>'Efficiency Orig'!$A$17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Orig'!$B$17</c:f>
            </c:strRef>
          </c:xVal>
          <c:yVal>
            <c:numRef>
              <c:f>'Efficiency Orig'!$D$17</c:f>
              <c:numCache/>
            </c:numRef>
          </c:yVal>
          <c:bubbleSize>
            <c:numRef>
              <c:f>'Efficiency Orig'!$E$17</c:f>
            </c:numRef>
          </c:bubbleSize>
        </c:ser>
        <c:ser>
          <c:idx val="16"/>
          <c:order val="16"/>
          <c:tx>
            <c:strRef>
              <c:f>'Efficiency Orig'!$A$18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Orig'!$B$18</c:f>
            </c:strRef>
          </c:xVal>
          <c:yVal>
            <c:numRef>
              <c:f>'Efficiency Orig'!$D$18</c:f>
              <c:numCache/>
            </c:numRef>
          </c:yVal>
          <c:bubbleSize>
            <c:numRef>
              <c:f>'Efficiency Orig'!$E$18</c:f>
            </c:numRef>
          </c:bubbleSize>
        </c:ser>
        <c:ser>
          <c:idx val="17"/>
          <c:order val="17"/>
          <c:tx>
            <c:strRef>
              <c:f>'Efficiency Orig'!$A$19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Orig'!$B$19</c:f>
            </c:strRef>
          </c:xVal>
          <c:yVal>
            <c:numRef>
              <c:f>'Efficiency Orig'!$D$19</c:f>
              <c:numCache/>
            </c:numRef>
          </c:yVal>
          <c:bubbleSize>
            <c:numRef>
              <c:f>'Efficiency Orig'!$E$19</c:f>
            </c:numRef>
          </c:bubbleSize>
        </c:ser>
        <c:ser>
          <c:idx val="18"/>
          <c:order val="18"/>
          <c:tx>
            <c:strRef>
              <c:f>'Efficiency Orig'!$A$20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Orig'!$B$20</c:f>
            </c:strRef>
          </c:xVal>
          <c:yVal>
            <c:numRef>
              <c:f>'Efficiency Orig'!$D$20</c:f>
              <c:numCache/>
            </c:numRef>
          </c:yVal>
          <c:bubbleSize>
            <c:numRef>
              <c:f>'Efficiency Orig'!$E$20</c:f>
            </c:numRef>
          </c:bubbleSize>
        </c:ser>
        <c:ser>
          <c:idx val="19"/>
          <c:order val="19"/>
          <c:tx>
            <c:strRef>
              <c:f>'Efficiency Orig'!$A$21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Orig'!$B$21</c:f>
            </c:strRef>
          </c:xVal>
          <c:yVal>
            <c:numRef>
              <c:f>'Efficiency Orig'!$D$21</c:f>
              <c:numCache/>
            </c:numRef>
          </c:yVal>
          <c:bubbleSize>
            <c:numRef>
              <c:f>'Efficiency Orig'!$E$21</c:f>
            </c:numRef>
          </c:bubbleSize>
        </c:ser>
        <c:ser>
          <c:idx val="20"/>
          <c:order val="20"/>
          <c:tx>
            <c:strRef>
              <c:f>'Efficiency Orig'!$A$22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Orig'!$B$22</c:f>
            </c:strRef>
          </c:xVal>
          <c:yVal>
            <c:numRef>
              <c:f>'Efficiency Orig'!$D$22</c:f>
              <c:numCache/>
            </c:numRef>
          </c:yVal>
          <c:bubbleSize>
            <c:numRef>
              <c:f>'Efficiency Orig'!$E$22</c:f>
            </c:numRef>
          </c:bubbleSize>
        </c:ser>
        <c:ser>
          <c:idx val="21"/>
          <c:order val="21"/>
          <c:tx>
            <c:strRef>
              <c:f>'Efficiency Orig'!$A$23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Orig'!$B$23</c:f>
            </c:strRef>
          </c:xVal>
          <c:yVal>
            <c:numRef>
              <c:f>'Efficiency Orig'!$D$23</c:f>
              <c:numCache/>
            </c:numRef>
          </c:yVal>
          <c:bubbleSize>
            <c:numRef>
              <c:f>'Efficiency Orig'!$E$23</c:f>
            </c:numRef>
          </c:bubbleSize>
        </c:ser>
        <c:ser>
          <c:idx val="22"/>
          <c:order val="22"/>
          <c:tx>
            <c:strRef>
              <c:f>'Efficiency Orig'!$A$24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Orig'!$B$24</c:f>
            </c:strRef>
          </c:xVal>
          <c:yVal>
            <c:numRef>
              <c:f>'Efficiency Orig'!$D$24</c:f>
              <c:numCache/>
            </c:numRef>
          </c:yVal>
          <c:bubbleSize>
            <c:numRef>
              <c:f>'Efficiency Orig'!$E$24</c:f>
            </c:numRef>
          </c:bubbleSize>
        </c:ser>
        <c:ser>
          <c:idx val="23"/>
          <c:order val="23"/>
          <c:tx>
            <c:strRef>
              <c:f>'Efficiency Orig'!$A$25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Orig'!$B$25</c:f>
            </c:strRef>
          </c:xVal>
          <c:yVal>
            <c:numRef>
              <c:f>'Efficiency Orig'!$D$25</c:f>
              <c:numCache/>
            </c:numRef>
          </c:yVal>
          <c:bubbleSize>
            <c:numRef>
              <c:f>'Efficiency Orig'!$E$25</c:f>
            </c:numRef>
          </c:bubbleSize>
        </c:ser>
        <c:ser>
          <c:idx val="24"/>
          <c:order val="24"/>
          <c:tx>
            <c:strRef>
              <c:f>'Efficiency Orig'!$A$26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Orig'!$B$26</c:f>
            </c:strRef>
          </c:xVal>
          <c:yVal>
            <c:numRef>
              <c:f>'Efficiency Orig'!$D$26</c:f>
              <c:numCache/>
            </c:numRef>
          </c:yVal>
          <c:bubbleSize>
            <c:numRef>
              <c:f>'Efficiency Orig'!$E$26</c:f>
            </c:numRef>
          </c:bubbleSize>
        </c:ser>
        <c:ser>
          <c:idx val="25"/>
          <c:order val="25"/>
          <c:tx>
            <c:strRef>
              <c:f>'Efficiency Orig'!$A$27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Orig'!$B$27</c:f>
            </c:strRef>
          </c:xVal>
          <c:yVal>
            <c:numRef>
              <c:f>'Efficiency Orig'!$D$27</c:f>
              <c:numCache/>
            </c:numRef>
          </c:yVal>
          <c:bubbleSize>
            <c:numRef>
              <c:f>'Efficiency Orig'!$E$27</c:f>
            </c:numRef>
          </c:bubbleSize>
        </c:ser>
        <c:ser>
          <c:idx val="26"/>
          <c:order val="26"/>
          <c:tx>
            <c:strRef>
              <c:f>'Efficiency Orig'!$A$28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Orig'!$B$28</c:f>
            </c:strRef>
          </c:xVal>
          <c:yVal>
            <c:numRef>
              <c:f>'Efficiency Orig'!$D$28</c:f>
              <c:numCache/>
            </c:numRef>
          </c:yVal>
          <c:bubbleSize>
            <c:numRef>
              <c:f>'Efficiency Orig'!$E$28</c:f>
            </c:numRef>
          </c:bubbleSize>
        </c:ser>
        <c:ser>
          <c:idx val="27"/>
          <c:order val="27"/>
          <c:tx>
            <c:strRef>
              <c:f>'Efficiency Orig'!$A$29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Orig'!$B$29</c:f>
            </c:strRef>
          </c:xVal>
          <c:yVal>
            <c:numRef>
              <c:f>'Efficiency Orig'!$D$29</c:f>
              <c:numCache/>
            </c:numRef>
          </c:yVal>
          <c:bubbleSize>
            <c:numRef>
              <c:f>'Efficiency Orig'!$E$29</c:f>
            </c:numRef>
          </c:bubbleSize>
        </c:ser>
        <c:ser>
          <c:idx val="28"/>
          <c:order val="28"/>
          <c:tx>
            <c:strRef>
              <c:f>'Efficiency Orig'!$A$30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Orig'!$B$30</c:f>
            </c:strRef>
          </c:xVal>
          <c:yVal>
            <c:numRef>
              <c:f>'Efficiency Orig'!$D$30</c:f>
              <c:numCache/>
            </c:numRef>
          </c:yVal>
          <c:bubbleSize>
            <c:numRef>
              <c:f>'Efficiency Orig'!$E$30</c:f>
            </c:numRef>
          </c:bubbleSize>
        </c:ser>
        <c:ser>
          <c:idx val="29"/>
          <c:order val="29"/>
          <c:tx>
            <c:strRef>
              <c:f>'Efficiency Orig'!$A$31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Orig'!$B$31</c:f>
            </c:strRef>
          </c:xVal>
          <c:yVal>
            <c:numRef>
              <c:f>'Efficiency Orig'!$D$31</c:f>
              <c:numCache/>
            </c:numRef>
          </c:yVal>
          <c:bubbleSize>
            <c:numRef>
              <c:f>'Efficiency Orig'!$E$31</c:f>
            </c:numRef>
          </c:bubbleSize>
        </c:ser>
        <c:ser>
          <c:idx val="30"/>
          <c:order val="30"/>
          <c:tx>
            <c:strRef>
              <c:f>'Efficiency Orig'!$A$32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Orig'!$B$32</c:f>
            </c:strRef>
          </c:xVal>
          <c:yVal>
            <c:numRef>
              <c:f>'Efficiency Orig'!$D$32</c:f>
              <c:numCache/>
            </c:numRef>
          </c:yVal>
          <c:bubbleSize>
            <c:numRef>
              <c:f>'Efficiency Orig'!$E$32</c:f>
            </c:numRef>
          </c:bubbleSize>
        </c:ser>
        <c:ser>
          <c:idx val="31"/>
          <c:order val="31"/>
          <c:tx>
            <c:strRef>
              <c:f>'Efficiency Orig'!$A$33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Orig'!$B$33</c:f>
            </c:strRef>
          </c:xVal>
          <c:yVal>
            <c:numRef>
              <c:f>'Efficiency Orig'!$D$33</c:f>
              <c:numCache/>
            </c:numRef>
          </c:yVal>
          <c:bubbleSize>
            <c:numRef>
              <c:f>'Efficiency Orig'!$E$33</c:f>
            </c:numRef>
          </c:bubbleSize>
        </c:ser>
        <c:ser>
          <c:idx val="32"/>
          <c:order val="32"/>
          <c:tx>
            <c:strRef>
              <c:f>'Efficiency Orig'!$A$34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Orig'!$B$34</c:f>
            </c:strRef>
          </c:xVal>
          <c:yVal>
            <c:numRef>
              <c:f>'Efficiency Orig'!$D$34</c:f>
              <c:numCache/>
            </c:numRef>
          </c:yVal>
          <c:bubbleSize>
            <c:numRef>
              <c:f>'Efficiency Orig'!$E$34</c:f>
            </c:numRef>
          </c:bubbleSize>
        </c:ser>
        <c:ser>
          <c:idx val="33"/>
          <c:order val="33"/>
          <c:tx>
            <c:strRef>
              <c:f>'Efficiency Orig'!$A$35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Orig'!$B$35</c:f>
            </c:strRef>
          </c:xVal>
          <c:yVal>
            <c:numRef>
              <c:f>'Efficiency Orig'!$D$35</c:f>
              <c:numCache/>
            </c:numRef>
          </c:yVal>
          <c:bubbleSize>
            <c:numRef>
              <c:f>'Efficiency Orig'!$E$35</c:f>
            </c:numRef>
          </c:bubbleSize>
        </c:ser>
        <c:ser>
          <c:idx val="34"/>
          <c:order val="34"/>
          <c:tx>
            <c:strRef>
              <c:f>'Efficiency Orig'!$A$36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Orig'!$B$36</c:f>
            </c:strRef>
          </c:xVal>
          <c:yVal>
            <c:numRef>
              <c:f>'Efficiency Orig'!$D$36</c:f>
              <c:numCache/>
            </c:numRef>
          </c:yVal>
          <c:bubbleSize>
            <c:numRef>
              <c:f>'Efficiency Orig'!$E$36</c:f>
            </c:numRef>
          </c:bubbleSize>
        </c:ser>
        <c:ser>
          <c:idx val="35"/>
          <c:order val="35"/>
          <c:tx>
            <c:strRef>
              <c:f>'Efficiency Orig'!$A$37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Orig'!$B$37</c:f>
            </c:strRef>
          </c:xVal>
          <c:yVal>
            <c:numRef>
              <c:f>'Efficiency Orig'!$D$37</c:f>
              <c:numCache/>
            </c:numRef>
          </c:yVal>
          <c:bubbleSize>
            <c:numRef>
              <c:f>'Efficiency Orig'!$E$37</c:f>
            </c:numRef>
          </c:bubbleSize>
        </c:ser>
        <c:ser>
          <c:idx val="36"/>
          <c:order val="36"/>
          <c:tx>
            <c:strRef>
              <c:f>'Efficiency Orig'!$A$38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Orig'!$B$38</c:f>
            </c:strRef>
          </c:xVal>
          <c:yVal>
            <c:numRef>
              <c:f>'Efficiency Orig'!$D$38</c:f>
              <c:numCache/>
            </c:numRef>
          </c:yVal>
          <c:bubbleSize>
            <c:numRef>
              <c:f>'Efficiency Orig'!$E$38</c:f>
            </c:numRef>
          </c:bubbleSize>
        </c:ser>
        <c:ser>
          <c:idx val="37"/>
          <c:order val="37"/>
          <c:tx>
            <c:strRef>
              <c:f>'Efficiency Orig'!$A$39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Orig'!$B$39</c:f>
            </c:strRef>
          </c:xVal>
          <c:yVal>
            <c:numRef>
              <c:f>'Efficiency Orig'!$D$39</c:f>
              <c:numCache/>
            </c:numRef>
          </c:yVal>
          <c:bubbleSize>
            <c:numRef>
              <c:f>'Efficiency Orig'!$E$39</c:f>
            </c:numRef>
          </c:bubbleSize>
        </c:ser>
        <c:ser>
          <c:idx val="38"/>
          <c:order val="38"/>
          <c:tx>
            <c:strRef>
              <c:f>'Efficiency Orig'!$A$40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Orig'!$B$40</c:f>
            </c:strRef>
          </c:xVal>
          <c:yVal>
            <c:numRef>
              <c:f>'Efficiency Orig'!$D$40</c:f>
              <c:numCache/>
            </c:numRef>
          </c:yVal>
          <c:bubbleSize>
            <c:numRef>
              <c:f>'Efficiency Orig'!$E$40</c:f>
            </c:numRef>
          </c:bubbleSize>
        </c:ser>
        <c:ser>
          <c:idx val="39"/>
          <c:order val="39"/>
          <c:tx>
            <c:strRef>
              <c:f>'Efficiency Orig'!$A$41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Orig'!$B$41</c:f>
            </c:strRef>
          </c:xVal>
          <c:yVal>
            <c:numRef>
              <c:f>'Efficiency Orig'!$D$41</c:f>
              <c:numCache/>
            </c:numRef>
          </c:yVal>
          <c:bubbleSize>
            <c:numRef>
              <c:f>'Efficiency Orig'!$E$41</c:f>
            </c:numRef>
          </c:bubbleSize>
        </c:ser>
        <c:ser>
          <c:idx val="40"/>
          <c:order val="40"/>
          <c:tx>
            <c:strRef>
              <c:f>'Efficiency Orig'!$A$42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Orig'!$B$42</c:f>
            </c:strRef>
          </c:xVal>
          <c:yVal>
            <c:numRef>
              <c:f>'Efficiency Orig'!$D$42</c:f>
              <c:numCache/>
            </c:numRef>
          </c:yVal>
          <c:bubbleSize>
            <c:numRef>
              <c:f>'Efficiency Orig'!$E$42</c:f>
            </c:numRef>
          </c:bubbleSize>
        </c:ser>
        <c:ser>
          <c:idx val="41"/>
          <c:order val="41"/>
          <c:tx>
            <c:strRef>
              <c:f>'Efficiency Orig'!$A$43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Orig'!$B$43</c:f>
            </c:strRef>
          </c:xVal>
          <c:yVal>
            <c:numRef>
              <c:f>'Efficiency Orig'!$D$43</c:f>
              <c:numCache/>
            </c:numRef>
          </c:yVal>
          <c:bubbleSize>
            <c:numRef>
              <c:f>'Efficiency Orig'!$E$43</c:f>
            </c:numRef>
          </c:bubbleSize>
        </c:ser>
        <c:ser>
          <c:idx val="42"/>
          <c:order val="42"/>
          <c:tx>
            <c:strRef>
              <c:f>'Efficiency Orig'!$A$44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Orig'!$B$44</c:f>
            </c:strRef>
          </c:xVal>
          <c:yVal>
            <c:numRef>
              <c:f>'Efficiency Orig'!$D$44</c:f>
              <c:numCache/>
            </c:numRef>
          </c:yVal>
          <c:bubbleSize>
            <c:numRef>
              <c:f>'Efficiency Orig'!$E$44</c:f>
            </c:numRef>
          </c:bubbleSize>
        </c:ser>
        <c:ser>
          <c:idx val="43"/>
          <c:order val="43"/>
          <c:tx>
            <c:strRef>
              <c:f>'Efficiency Orig'!$A$45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Orig'!$B$45</c:f>
            </c:strRef>
          </c:xVal>
          <c:yVal>
            <c:numRef>
              <c:f>'Efficiency Orig'!$D$45</c:f>
              <c:numCache/>
            </c:numRef>
          </c:yVal>
          <c:bubbleSize>
            <c:numRef>
              <c:f>'Efficiency Orig'!$E$45</c:f>
            </c:numRef>
          </c:bubbleSize>
        </c:ser>
        <c:ser>
          <c:idx val="44"/>
          <c:order val="44"/>
          <c:tx>
            <c:strRef>
              <c:f>'Efficiency Orig'!$A$46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Orig'!$B$46</c:f>
            </c:strRef>
          </c:xVal>
          <c:yVal>
            <c:numRef>
              <c:f>'Efficiency Orig'!$D$46</c:f>
              <c:numCache/>
            </c:numRef>
          </c:yVal>
          <c:bubbleSize>
            <c:numRef>
              <c:f>'Efficiency Orig'!$E$46</c:f>
            </c:numRef>
          </c:bubbleSize>
        </c:ser>
        <c:ser>
          <c:idx val="45"/>
          <c:order val="45"/>
          <c:tx>
            <c:strRef>
              <c:f>'Efficiency Orig'!$A$47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Orig'!$B$47</c:f>
            </c:strRef>
          </c:xVal>
          <c:yVal>
            <c:numRef>
              <c:f>'Efficiency Orig'!$D$47</c:f>
              <c:numCache/>
            </c:numRef>
          </c:yVal>
          <c:bubbleSize>
            <c:numRef>
              <c:f>'Efficiency Orig'!$E$47</c:f>
            </c:numRef>
          </c:bubbleSize>
        </c:ser>
        <c:ser>
          <c:idx val="46"/>
          <c:order val="46"/>
          <c:tx>
            <c:strRef>
              <c:f>'Efficiency Orig'!$A$48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Orig'!$B$48</c:f>
            </c:strRef>
          </c:xVal>
          <c:yVal>
            <c:numRef>
              <c:f>'Efficiency Orig'!$D$48</c:f>
              <c:numCache/>
            </c:numRef>
          </c:yVal>
          <c:bubbleSize>
            <c:numRef>
              <c:f>'Efficiency Orig'!$E$48</c:f>
            </c:numRef>
          </c:bubbleSize>
        </c:ser>
        <c:ser>
          <c:idx val="47"/>
          <c:order val="47"/>
          <c:tx>
            <c:strRef>
              <c:f>'Efficiency Orig'!$A$49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Orig'!$B$49</c:f>
            </c:strRef>
          </c:xVal>
          <c:yVal>
            <c:numRef>
              <c:f>'Efficiency Orig'!$D$49</c:f>
              <c:numCache/>
            </c:numRef>
          </c:yVal>
          <c:bubbleSize>
            <c:numRef>
              <c:f>'Efficiency Orig'!$E$49</c:f>
            </c:numRef>
          </c:bubbleSize>
        </c:ser>
        <c:ser>
          <c:idx val="48"/>
          <c:order val="48"/>
          <c:tx>
            <c:strRef>
              <c:f>'Efficiency Orig'!$A$50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Orig'!$B$50</c:f>
            </c:strRef>
          </c:xVal>
          <c:yVal>
            <c:numRef>
              <c:f>'Efficiency Orig'!$D$50</c:f>
              <c:numCache/>
            </c:numRef>
          </c:yVal>
          <c:bubbleSize>
            <c:numRef>
              <c:f>'Efficiency Orig'!$E$50</c:f>
            </c:numRef>
          </c:bubbleSize>
        </c:ser>
        <c:ser>
          <c:idx val="49"/>
          <c:order val="49"/>
          <c:tx>
            <c:strRef>
              <c:f>'Efficiency Orig'!$A$51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Orig'!$B$51</c:f>
            </c:strRef>
          </c:xVal>
          <c:yVal>
            <c:numRef>
              <c:f>'Efficiency Orig'!$D$51</c:f>
              <c:numCache/>
            </c:numRef>
          </c:yVal>
          <c:bubbleSize>
            <c:numRef>
              <c:f>'Efficiency Orig'!$E$51</c:f>
            </c:numRef>
          </c:bubbleSize>
        </c:ser>
        <c:ser>
          <c:idx val="50"/>
          <c:order val="50"/>
          <c:tx>
            <c:strRef>
              <c:f>'Efficiency Orig'!$A$52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Orig'!$B$52</c:f>
            </c:strRef>
          </c:xVal>
          <c:yVal>
            <c:numRef>
              <c:f>'Efficiency Orig'!$D$52</c:f>
              <c:numCache/>
            </c:numRef>
          </c:yVal>
          <c:bubbleSize>
            <c:numRef>
              <c:f>'Efficiency Orig'!$E$52</c:f>
            </c:numRef>
          </c:bubbleSize>
        </c:ser>
        <c:ser>
          <c:idx val="51"/>
          <c:order val="51"/>
          <c:tx>
            <c:strRef>
              <c:f>'Efficiency Orig'!$A$53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Orig'!$B$53</c:f>
            </c:strRef>
          </c:xVal>
          <c:yVal>
            <c:numRef>
              <c:f>'Efficiency Orig'!$D$53</c:f>
              <c:numCache/>
            </c:numRef>
          </c:yVal>
          <c:bubbleSize>
            <c:numRef>
              <c:f>'Efficiency Orig'!$E$53</c:f>
            </c:numRef>
          </c:bubbleSize>
        </c:ser>
        <c:ser>
          <c:idx val="52"/>
          <c:order val="52"/>
          <c:tx>
            <c:strRef>
              <c:f>'Efficiency Orig'!$A$54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Orig'!$B$54</c:f>
            </c:strRef>
          </c:xVal>
          <c:yVal>
            <c:numRef>
              <c:f>'Efficiency Orig'!$D$54</c:f>
              <c:numCache/>
            </c:numRef>
          </c:yVal>
          <c:bubbleSize>
            <c:numRef>
              <c:f>'Efficiency Orig'!$E$54</c:f>
            </c:numRef>
          </c:bubbleSize>
        </c:ser>
        <c:ser>
          <c:idx val="53"/>
          <c:order val="53"/>
          <c:tx>
            <c:strRef>
              <c:f>'Efficiency Orig'!$A$55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Orig'!$B$55</c:f>
            </c:strRef>
          </c:xVal>
          <c:yVal>
            <c:numRef>
              <c:f>'Efficiency Orig'!$D$55</c:f>
              <c:numCache/>
            </c:numRef>
          </c:yVal>
          <c:bubbleSize>
            <c:numRef>
              <c:f>'Efficiency Orig'!$E$55</c:f>
            </c:numRef>
          </c:bubbleSize>
        </c:ser>
        <c:ser>
          <c:idx val="54"/>
          <c:order val="54"/>
          <c:tx>
            <c:strRef>
              <c:f>'Efficiency Orig'!$A$56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Orig'!$B$56</c:f>
            </c:strRef>
          </c:xVal>
          <c:yVal>
            <c:numRef>
              <c:f>'Efficiency Orig'!$D$56</c:f>
              <c:numCache/>
            </c:numRef>
          </c:yVal>
          <c:bubbleSize>
            <c:numRef>
              <c:f>'Efficiency Orig'!$E$56</c:f>
            </c:numRef>
          </c:bubbleSize>
        </c:ser>
        <c:ser>
          <c:idx val="55"/>
          <c:order val="55"/>
          <c:tx>
            <c:strRef>
              <c:f>'Efficiency Orig'!$A$57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Orig'!$B$57</c:f>
            </c:strRef>
          </c:xVal>
          <c:yVal>
            <c:numRef>
              <c:f>'Efficiency Orig'!$D$57</c:f>
              <c:numCache/>
            </c:numRef>
          </c:yVal>
          <c:bubbleSize>
            <c:numRef>
              <c:f>'Efficiency Orig'!$E$57</c:f>
            </c:numRef>
          </c:bubbleSize>
        </c:ser>
        <c:ser>
          <c:idx val="56"/>
          <c:order val="56"/>
          <c:tx>
            <c:strRef>
              <c:f>'Efficiency Orig'!$A$58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Orig'!$B$58</c:f>
            </c:strRef>
          </c:xVal>
          <c:yVal>
            <c:numRef>
              <c:f>'Efficiency Orig'!$D$58</c:f>
              <c:numCache/>
            </c:numRef>
          </c:yVal>
          <c:bubbleSize>
            <c:numRef>
              <c:f>'Efficiency Orig'!$E$58</c:f>
            </c:numRef>
          </c:bubbleSize>
        </c:ser>
        <c:ser>
          <c:idx val="57"/>
          <c:order val="57"/>
          <c:tx>
            <c:strRef>
              <c:f>'Efficiency Orig'!$A$59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Orig'!$B$59</c:f>
            </c:strRef>
          </c:xVal>
          <c:yVal>
            <c:numRef>
              <c:f>'Efficiency Orig'!$D$59</c:f>
              <c:numCache/>
            </c:numRef>
          </c:yVal>
          <c:bubbleSize>
            <c:numRef>
              <c:f>'Efficiency Orig'!$E$59</c:f>
            </c:numRef>
          </c:bubbleSize>
        </c:ser>
        <c:ser>
          <c:idx val="58"/>
          <c:order val="58"/>
          <c:tx>
            <c:strRef>
              <c:f>'Efficiency Orig'!$A$60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Orig'!$B$60</c:f>
            </c:strRef>
          </c:xVal>
          <c:yVal>
            <c:numRef>
              <c:f>'Efficiency Orig'!$D$60</c:f>
              <c:numCache/>
            </c:numRef>
          </c:yVal>
          <c:bubbleSize>
            <c:numRef>
              <c:f>'Efficiency Orig'!$E$60</c:f>
            </c:numRef>
          </c:bubbleSize>
        </c:ser>
        <c:ser>
          <c:idx val="59"/>
          <c:order val="59"/>
          <c:tx>
            <c:strRef>
              <c:f>'Efficiency Orig'!$A$61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Orig'!$B$61</c:f>
            </c:strRef>
          </c:xVal>
          <c:yVal>
            <c:numRef>
              <c:f>'Efficiency Orig'!$D$61</c:f>
              <c:numCache/>
            </c:numRef>
          </c:yVal>
          <c:bubbleSize>
            <c:numRef>
              <c:f>'Efficiency Orig'!$E$61</c:f>
            </c:numRef>
          </c:bubbleSize>
        </c:ser>
        <c:ser>
          <c:idx val="60"/>
          <c:order val="60"/>
          <c:tx>
            <c:strRef>
              <c:f>'Efficiency Orig'!$A$62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Orig'!$B$62</c:f>
            </c:strRef>
          </c:xVal>
          <c:yVal>
            <c:numRef>
              <c:f>'Efficiency Orig'!$D$62</c:f>
              <c:numCache/>
            </c:numRef>
          </c:yVal>
          <c:bubbleSize>
            <c:numRef>
              <c:f>'Efficiency Orig'!$E$62</c:f>
            </c:numRef>
          </c:bubbleSize>
        </c:ser>
        <c:ser>
          <c:idx val="61"/>
          <c:order val="61"/>
          <c:tx>
            <c:strRef>
              <c:f>'Efficiency Orig'!$A$63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Orig'!$B$63</c:f>
            </c:strRef>
          </c:xVal>
          <c:yVal>
            <c:numRef>
              <c:f>'Efficiency Orig'!$D$63</c:f>
              <c:numCache/>
            </c:numRef>
          </c:yVal>
          <c:bubbleSize>
            <c:numRef>
              <c:f>'Efficiency Orig'!$E$63</c:f>
            </c:numRef>
          </c:bubbleSize>
        </c:ser>
        <c:ser>
          <c:idx val="62"/>
          <c:order val="62"/>
          <c:tx>
            <c:strRef>
              <c:f>'Efficiency Orig'!$A$64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Orig'!$B$64</c:f>
            </c:strRef>
          </c:xVal>
          <c:yVal>
            <c:numRef>
              <c:f>'Efficiency Orig'!$D$64</c:f>
              <c:numCache/>
            </c:numRef>
          </c:yVal>
          <c:bubbleSize>
            <c:numRef>
              <c:f>'Efficiency Orig'!$E$64</c:f>
            </c:numRef>
          </c:bubbleSize>
        </c:ser>
        <c:ser>
          <c:idx val="63"/>
          <c:order val="63"/>
          <c:tx>
            <c:strRef>
              <c:f>'Efficiency Orig'!$A$65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Orig'!$B$65</c:f>
            </c:strRef>
          </c:xVal>
          <c:yVal>
            <c:numRef>
              <c:f>'Efficiency Orig'!$D$65</c:f>
              <c:numCache/>
            </c:numRef>
          </c:yVal>
          <c:bubbleSize>
            <c:numRef>
              <c:f>'Efficiency Orig'!$E$65</c:f>
            </c:numRef>
          </c:bubbleSize>
        </c:ser>
        <c:ser>
          <c:idx val="64"/>
          <c:order val="64"/>
          <c:tx>
            <c:strRef>
              <c:f>'Efficiency Orig'!$A$66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Orig'!$B$66</c:f>
            </c:strRef>
          </c:xVal>
          <c:yVal>
            <c:numRef>
              <c:f>'Efficiency Orig'!$D$66</c:f>
              <c:numCache/>
            </c:numRef>
          </c:yVal>
          <c:bubbleSize>
            <c:numRef>
              <c:f>'Efficiency Orig'!$E$66</c:f>
            </c:numRef>
          </c:bubbleSize>
        </c:ser>
        <c:ser>
          <c:idx val="65"/>
          <c:order val="65"/>
          <c:tx>
            <c:strRef>
              <c:f>'Efficiency Orig'!$A$67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Orig'!$B$67</c:f>
            </c:strRef>
          </c:xVal>
          <c:yVal>
            <c:numRef>
              <c:f>'Efficiency Orig'!$D$67</c:f>
              <c:numCache/>
            </c:numRef>
          </c:yVal>
          <c:bubbleSize>
            <c:numRef>
              <c:f>'Efficiency Orig'!$E$67</c:f>
            </c:numRef>
          </c:bubbleSize>
        </c:ser>
        <c:ser>
          <c:idx val="66"/>
          <c:order val="66"/>
          <c:tx>
            <c:strRef>
              <c:f>'Efficiency Orig'!$A$68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Orig'!$B$68</c:f>
            </c:strRef>
          </c:xVal>
          <c:yVal>
            <c:numRef>
              <c:f>'Efficiency Orig'!$D$68</c:f>
              <c:numCache/>
            </c:numRef>
          </c:yVal>
          <c:bubbleSize>
            <c:numRef>
              <c:f>'Efficiency Orig'!$E$68</c:f>
            </c:numRef>
          </c:bubbleSize>
        </c:ser>
        <c:ser>
          <c:idx val="67"/>
          <c:order val="67"/>
          <c:tx>
            <c:strRef>
              <c:f>'Efficiency Orig'!$A$69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Orig'!$B$69</c:f>
            </c:strRef>
          </c:xVal>
          <c:yVal>
            <c:numRef>
              <c:f>'Efficiency Orig'!$D$69</c:f>
              <c:numCache/>
            </c:numRef>
          </c:yVal>
          <c:bubbleSize>
            <c:numRef>
              <c:f>'Efficiency Orig'!$E$69</c:f>
            </c:numRef>
          </c:bubbleSize>
        </c:ser>
        <c:ser>
          <c:idx val="68"/>
          <c:order val="68"/>
          <c:tx>
            <c:strRef>
              <c:f>'Efficiency Orig'!$A$70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Orig'!$B$70</c:f>
            </c:strRef>
          </c:xVal>
          <c:yVal>
            <c:numRef>
              <c:f>'Efficiency Orig'!$D$70</c:f>
              <c:numCache/>
            </c:numRef>
          </c:yVal>
          <c:bubbleSize>
            <c:numRef>
              <c:f>'Efficiency Orig'!$E$70</c:f>
            </c:numRef>
          </c:bubbleSize>
        </c:ser>
        <c:ser>
          <c:idx val="69"/>
          <c:order val="69"/>
          <c:tx>
            <c:strRef>
              <c:f>'Efficiency Orig'!$A$71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Orig'!$B$71</c:f>
            </c:strRef>
          </c:xVal>
          <c:yVal>
            <c:numRef>
              <c:f>'Efficiency Orig'!$D$71</c:f>
              <c:numCache/>
            </c:numRef>
          </c:yVal>
          <c:bubbleSize>
            <c:numRef>
              <c:f>'Efficiency Orig'!$E$71</c:f>
            </c:numRef>
          </c:bubbleSize>
        </c:ser>
        <c:ser>
          <c:idx val="70"/>
          <c:order val="70"/>
          <c:tx>
            <c:strRef>
              <c:f>'Efficiency Orig'!$A$72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Orig'!$B$72</c:f>
            </c:strRef>
          </c:xVal>
          <c:yVal>
            <c:numRef>
              <c:f>'Efficiency Orig'!$D$72</c:f>
              <c:numCache/>
            </c:numRef>
          </c:yVal>
          <c:bubbleSize>
            <c:numRef>
              <c:f>'Efficiency Orig'!$E$72</c:f>
            </c:numRef>
          </c:bubbleSize>
        </c:ser>
        <c:ser>
          <c:idx val="71"/>
          <c:order val="71"/>
          <c:tx>
            <c:strRef>
              <c:f>'Efficiency Orig'!$A$73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Orig'!$B$73</c:f>
            </c:strRef>
          </c:xVal>
          <c:yVal>
            <c:numRef>
              <c:f>'Efficiency Orig'!$D$73</c:f>
              <c:numCache/>
            </c:numRef>
          </c:yVal>
          <c:bubbleSize>
            <c:numRef>
              <c:f>'Efficiency Orig'!$E$73</c:f>
            </c:numRef>
          </c:bubbleSize>
        </c:ser>
        <c:ser>
          <c:idx val="72"/>
          <c:order val="72"/>
          <c:tx>
            <c:strRef>
              <c:f>'Efficiency Orig'!$A$74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Orig'!$B$74</c:f>
            </c:strRef>
          </c:xVal>
          <c:yVal>
            <c:numRef>
              <c:f>'Efficiency Orig'!$D$74</c:f>
              <c:numCache/>
            </c:numRef>
          </c:yVal>
          <c:bubbleSize>
            <c:numRef>
              <c:f>'Efficiency Orig'!$E$74</c:f>
            </c:numRef>
          </c:bubbleSize>
        </c:ser>
        <c:ser>
          <c:idx val="73"/>
          <c:order val="73"/>
          <c:tx>
            <c:strRef>
              <c:f>'Efficiency Orig'!$A$75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Orig'!$B$75</c:f>
            </c:strRef>
          </c:xVal>
          <c:yVal>
            <c:numRef>
              <c:f>'Efficiency Orig'!$D$75</c:f>
              <c:numCache/>
            </c:numRef>
          </c:yVal>
          <c:bubbleSize>
            <c:numRef>
              <c:f>'Efficiency Orig'!$E$75</c:f>
            </c:numRef>
          </c:bubbleSize>
        </c:ser>
        <c:ser>
          <c:idx val="74"/>
          <c:order val="74"/>
          <c:tx>
            <c:strRef>
              <c:f>'Efficiency Orig'!$A$76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Orig'!$B$76</c:f>
            </c:strRef>
          </c:xVal>
          <c:yVal>
            <c:numRef>
              <c:f>'Efficiency Orig'!$D$76</c:f>
              <c:numCache/>
            </c:numRef>
          </c:yVal>
          <c:bubbleSize>
            <c:numRef>
              <c:f>'Efficiency Orig'!$E$76</c:f>
            </c:numRef>
          </c:bubbleSize>
        </c:ser>
        <c:ser>
          <c:idx val="75"/>
          <c:order val="75"/>
          <c:tx>
            <c:strRef>
              <c:f>'Efficiency Orig'!$A$77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Orig'!$B$77</c:f>
            </c:strRef>
          </c:xVal>
          <c:yVal>
            <c:numRef>
              <c:f>'Efficiency Orig'!$D$77</c:f>
              <c:numCache/>
            </c:numRef>
          </c:yVal>
          <c:bubbleSize>
            <c:numRef>
              <c:f>'Efficiency Orig'!$E$77</c:f>
            </c:numRef>
          </c:bubbleSize>
        </c:ser>
        <c:ser>
          <c:idx val="76"/>
          <c:order val="76"/>
          <c:tx>
            <c:strRef>
              <c:f>'Efficiency Orig'!$A$78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Orig'!$B$78</c:f>
            </c:strRef>
          </c:xVal>
          <c:yVal>
            <c:numRef>
              <c:f>'Efficiency Orig'!$D$78</c:f>
              <c:numCache/>
            </c:numRef>
          </c:yVal>
          <c:bubbleSize>
            <c:numRef>
              <c:f>'Efficiency Orig'!$E$78</c:f>
            </c:numRef>
          </c:bubbleSize>
        </c:ser>
        <c:ser>
          <c:idx val="77"/>
          <c:order val="77"/>
          <c:tx>
            <c:strRef>
              <c:f>'Efficiency Orig'!$A$79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Orig'!$B$79</c:f>
            </c:strRef>
          </c:xVal>
          <c:yVal>
            <c:numRef>
              <c:f>'Efficiency Orig'!$D$79</c:f>
              <c:numCache/>
            </c:numRef>
          </c:yVal>
          <c:bubbleSize>
            <c:numRef>
              <c:f>'Efficiency Orig'!$E$79</c:f>
            </c:numRef>
          </c:bubbleSize>
        </c:ser>
        <c:ser>
          <c:idx val="78"/>
          <c:order val="78"/>
          <c:tx>
            <c:strRef>
              <c:f>'Efficiency Orig'!$A$80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Orig'!$B$80</c:f>
            </c:strRef>
          </c:xVal>
          <c:yVal>
            <c:numRef>
              <c:f>'Efficiency Orig'!$D$80</c:f>
              <c:numCache/>
            </c:numRef>
          </c:yVal>
          <c:bubbleSize>
            <c:numRef>
              <c:f>'Efficiency Orig'!$E$80</c:f>
            </c:numRef>
          </c:bubbleSize>
        </c:ser>
        <c:ser>
          <c:idx val="79"/>
          <c:order val="79"/>
          <c:tx>
            <c:strRef>
              <c:f>'Efficiency Orig'!$A$81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Orig'!$B$81</c:f>
            </c:strRef>
          </c:xVal>
          <c:yVal>
            <c:numRef>
              <c:f>'Efficiency Orig'!$D$81</c:f>
              <c:numCache/>
            </c:numRef>
          </c:yVal>
          <c:bubbleSize>
            <c:numRef>
              <c:f>'Efficiency Orig'!$E$81</c:f>
            </c:numRef>
          </c:bubbleSize>
        </c:ser>
        <c:ser>
          <c:idx val="80"/>
          <c:order val="80"/>
          <c:tx>
            <c:strRef>
              <c:f>'Efficiency Orig'!$A$82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Orig'!$B$82</c:f>
            </c:strRef>
          </c:xVal>
          <c:yVal>
            <c:numRef>
              <c:f>'Efficiency Orig'!$D$82</c:f>
              <c:numCache/>
            </c:numRef>
          </c:yVal>
          <c:bubbleSize>
            <c:numRef>
              <c:f>'Efficiency Orig'!$E$82</c:f>
            </c:numRef>
          </c:bubbleSize>
        </c:ser>
        <c:ser>
          <c:idx val="81"/>
          <c:order val="81"/>
          <c:tx>
            <c:strRef>
              <c:f>'Efficiency Orig'!$A$83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Orig'!$B$83</c:f>
            </c:strRef>
          </c:xVal>
          <c:yVal>
            <c:numRef>
              <c:f>'Efficiency Orig'!$D$83</c:f>
              <c:numCache/>
            </c:numRef>
          </c:yVal>
          <c:bubbleSize>
            <c:numRef>
              <c:f>'Efficiency Orig'!$E$83</c:f>
            </c:numRef>
          </c:bubbleSize>
        </c:ser>
        <c:ser>
          <c:idx val="82"/>
          <c:order val="82"/>
          <c:tx>
            <c:strRef>
              <c:f>'Efficiency Orig'!$A$84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Orig'!$B$84</c:f>
            </c:strRef>
          </c:xVal>
          <c:yVal>
            <c:numRef>
              <c:f>'Efficiency Orig'!$D$84</c:f>
              <c:numCache/>
            </c:numRef>
          </c:yVal>
          <c:bubbleSize>
            <c:numRef>
              <c:f>'Efficiency Orig'!$E$84</c:f>
            </c:numRef>
          </c:bubbleSize>
        </c:ser>
        <c:ser>
          <c:idx val="83"/>
          <c:order val="83"/>
          <c:tx>
            <c:strRef>
              <c:f>'Efficiency Orig'!$A$85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Orig'!$B$85</c:f>
            </c:strRef>
          </c:xVal>
          <c:yVal>
            <c:numRef>
              <c:f>'Efficiency Orig'!$D$85</c:f>
              <c:numCache/>
            </c:numRef>
          </c:yVal>
          <c:bubbleSize>
            <c:numRef>
              <c:f>'Efficiency Orig'!$E$85</c:f>
            </c:numRef>
          </c:bubbleSize>
        </c:ser>
        <c:ser>
          <c:idx val="84"/>
          <c:order val="84"/>
          <c:tx>
            <c:strRef>
              <c:f>'Efficiency Orig'!$A$86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Orig'!$B$86</c:f>
            </c:strRef>
          </c:xVal>
          <c:yVal>
            <c:numRef>
              <c:f>'Efficiency Orig'!$D$86</c:f>
              <c:numCache/>
            </c:numRef>
          </c:yVal>
          <c:bubbleSize>
            <c:numRef>
              <c:f>'Efficiency Orig'!$E$86</c:f>
            </c:numRef>
          </c:bubbleSize>
        </c:ser>
        <c:ser>
          <c:idx val="85"/>
          <c:order val="85"/>
          <c:tx>
            <c:strRef>
              <c:f>'Efficiency Orig'!$A$87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Orig'!$B$87</c:f>
            </c:strRef>
          </c:xVal>
          <c:yVal>
            <c:numRef>
              <c:f>'Efficiency Orig'!$D$87</c:f>
              <c:numCache/>
            </c:numRef>
          </c:yVal>
          <c:bubbleSize>
            <c:numRef>
              <c:f>'Efficiency Orig'!$E$87</c:f>
            </c:numRef>
          </c:bubbleSize>
        </c:ser>
        <c:ser>
          <c:idx val="86"/>
          <c:order val="86"/>
          <c:tx>
            <c:strRef>
              <c:f>'Efficiency Orig'!$A$88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Orig'!$B$88</c:f>
            </c:strRef>
          </c:xVal>
          <c:yVal>
            <c:numRef>
              <c:f>'Efficiency Orig'!$D$88</c:f>
              <c:numCache/>
            </c:numRef>
          </c:yVal>
          <c:bubbleSize>
            <c:numRef>
              <c:f>'Efficiency Orig'!$E$88</c:f>
            </c:numRef>
          </c:bubbleSize>
        </c:ser>
        <c:ser>
          <c:idx val="87"/>
          <c:order val="87"/>
          <c:tx>
            <c:strRef>
              <c:f>'Efficiency Orig'!$A$89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Orig'!$B$89</c:f>
            </c:strRef>
          </c:xVal>
          <c:yVal>
            <c:numRef>
              <c:f>'Efficiency Orig'!$D$89</c:f>
              <c:numCache/>
            </c:numRef>
          </c:yVal>
          <c:bubbleSize>
            <c:numRef>
              <c:f>'Efficiency Orig'!$E$89</c:f>
            </c:numRef>
          </c:bubbleSize>
        </c:ser>
        <c:ser>
          <c:idx val="88"/>
          <c:order val="88"/>
          <c:tx>
            <c:strRef>
              <c:f>'Efficiency Orig'!$A$90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Orig'!$B$90</c:f>
            </c:strRef>
          </c:xVal>
          <c:yVal>
            <c:numRef>
              <c:f>'Efficiency Orig'!$D$90</c:f>
              <c:numCache/>
            </c:numRef>
          </c:yVal>
          <c:bubbleSize>
            <c:numRef>
              <c:f>'Efficiency Orig'!$E$90</c:f>
            </c:numRef>
          </c:bubbleSize>
        </c:ser>
        <c:ser>
          <c:idx val="89"/>
          <c:order val="89"/>
          <c:tx>
            <c:strRef>
              <c:f>'Efficiency Orig'!$A$91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Orig'!$B$91</c:f>
            </c:strRef>
          </c:xVal>
          <c:yVal>
            <c:numRef>
              <c:f>'Efficiency Orig'!$D$91</c:f>
              <c:numCache/>
            </c:numRef>
          </c:yVal>
          <c:bubbleSize>
            <c:numRef>
              <c:f>'Efficiency Orig'!$E$91</c:f>
            </c:numRef>
          </c:bubbleSize>
        </c:ser>
        <c:ser>
          <c:idx val="90"/>
          <c:order val="90"/>
          <c:tx>
            <c:strRef>
              <c:f>'Efficiency Orig'!$A$92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Orig'!$B$92</c:f>
            </c:strRef>
          </c:xVal>
          <c:yVal>
            <c:numRef>
              <c:f>'Efficiency Orig'!$D$92</c:f>
              <c:numCache/>
            </c:numRef>
          </c:yVal>
          <c:bubbleSize>
            <c:numRef>
              <c:f>'Efficiency Orig'!$E$92</c:f>
            </c:numRef>
          </c:bubbleSize>
        </c:ser>
        <c:ser>
          <c:idx val="91"/>
          <c:order val="91"/>
          <c:tx>
            <c:strRef>
              <c:f>'Efficiency Orig'!$A$93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Orig'!$B$93</c:f>
            </c:strRef>
          </c:xVal>
          <c:yVal>
            <c:numRef>
              <c:f>'Efficiency Orig'!$D$93</c:f>
              <c:numCache/>
            </c:numRef>
          </c:yVal>
          <c:bubbleSize>
            <c:numRef>
              <c:f>'Efficiency Orig'!$E$93</c:f>
            </c:numRef>
          </c:bubbleSize>
        </c:ser>
        <c:ser>
          <c:idx val="92"/>
          <c:order val="92"/>
          <c:tx>
            <c:strRef>
              <c:f>'Efficiency Orig'!$A$94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Orig'!$B$94</c:f>
            </c:strRef>
          </c:xVal>
          <c:yVal>
            <c:numRef>
              <c:f>'Efficiency Orig'!$D$94</c:f>
              <c:numCache/>
            </c:numRef>
          </c:yVal>
          <c:bubbleSize>
            <c:numRef>
              <c:f>'Efficiency Orig'!$E$94</c:f>
            </c:numRef>
          </c:bubbleSize>
        </c:ser>
        <c:ser>
          <c:idx val="93"/>
          <c:order val="93"/>
          <c:tx>
            <c:strRef>
              <c:f>'Efficiency Orig'!$A$95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Orig'!$B$95</c:f>
            </c:strRef>
          </c:xVal>
          <c:yVal>
            <c:numRef>
              <c:f>'Efficiency Orig'!$D$95</c:f>
              <c:numCache/>
            </c:numRef>
          </c:yVal>
          <c:bubbleSize>
            <c:numRef>
              <c:f>'Efficiency Orig'!$E$95</c:f>
            </c:numRef>
          </c:bubbleSize>
        </c:ser>
        <c:ser>
          <c:idx val="94"/>
          <c:order val="94"/>
          <c:tx>
            <c:strRef>
              <c:f>'Efficiency Orig'!$A$96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Orig'!$B$96</c:f>
            </c:strRef>
          </c:xVal>
          <c:yVal>
            <c:numRef>
              <c:f>'Efficiency Orig'!$D$96</c:f>
              <c:numCache/>
            </c:numRef>
          </c:yVal>
          <c:bubbleSize>
            <c:numRef>
              <c:f>'Efficiency Orig'!$E$96</c:f>
            </c:numRef>
          </c:bubbleSize>
        </c:ser>
        <c:ser>
          <c:idx val="95"/>
          <c:order val="95"/>
          <c:tx>
            <c:strRef>
              <c:f>'Efficiency Orig'!$A$97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Orig'!$B$97</c:f>
            </c:strRef>
          </c:xVal>
          <c:yVal>
            <c:numRef>
              <c:f>'Efficiency Orig'!$D$97</c:f>
              <c:numCache/>
            </c:numRef>
          </c:yVal>
          <c:bubbleSize>
            <c:numRef>
              <c:f>'Efficiency Orig'!$E$97</c:f>
            </c:numRef>
          </c:bubbleSize>
        </c:ser>
        <c:ser>
          <c:idx val="96"/>
          <c:order val="96"/>
          <c:tx>
            <c:strRef>
              <c:f>'Efficiency Orig'!$A$98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Orig'!$B$98</c:f>
            </c:strRef>
          </c:xVal>
          <c:yVal>
            <c:numRef>
              <c:f>'Efficiency Orig'!$D$98</c:f>
              <c:numCache/>
            </c:numRef>
          </c:yVal>
          <c:bubbleSize>
            <c:numRef>
              <c:f>'Efficiency Orig'!$E$98</c:f>
            </c:numRef>
          </c:bubbleSize>
        </c:ser>
        <c:ser>
          <c:idx val="97"/>
          <c:order val="97"/>
          <c:tx>
            <c:strRef>
              <c:f>'Efficiency Orig'!$A$99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Orig'!$B$99</c:f>
            </c:strRef>
          </c:xVal>
          <c:yVal>
            <c:numRef>
              <c:f>'Efficiency Orig'!$D$99</c:f>
              <c:numCache/>
            </c:numRef>
          </c:yVal>
          <c:bubbleSize>
            <c:numRef>
              <c:f>'Efficiency Orig'!$E$99</c:f>
            </c:numRef>
          </c:bubbleSize>
        </c:ser>
        <c:ser>
          <c:idx val="98"/>
          <c:order val="98"/>
          <c:tx>
            <c:strRef>
              <c:f>'Efficiency Orig'!$A$100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Orig'!$B$100</c:f>
            </c:strRef>
          </c:xVal>
          <c:yVal>
            <c:numRef>
              <c:f>'Efficiency Orig'!$D$100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328722723"/>
        <c:axId val="1411952849"/>
      </c:bubbleChart>
      <c:valAx>
        <c:axId val="1328722723"/>
        <c:scaling>
          <c:orientation val="minMax"/>
          <c:max val="4542.822164948454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952849"/>
      </c:valAx>
      <c:valAx>
        <c:axId val="1411952849"/>
        <c:scaling>
          <c:orientation val="minMax"/>
          <c:max val="121.601804123711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722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6F8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Champ d'Efficacité Moteur</a:t>
            </a:r>
          </a:p>
        </c:rich>
      </c:tx>
      <c:layout>
        <c:manualLayout>
          <c:xMode val="edge"/>
          <c:yMode val="edge"/>
          <c:x val="0.03004149377593361"/>
          <c:y val="0.047237569060773484"/>
        </c:manualLayout>
      </c:layout>
      <c:overlay val="0"/>
    </c:title>
    <c:plotArea>
      <c:layout/>
      <c:bubbleChart>
        <c:ser>
          <c:idx val="0"/>
          <c:order val="0"/>
          <c:tx>
            <c:v>Cos φ &lt;= 0.5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</c:f>
            </c:strRef>
          </c:xVal>
          <c:yVal>
            <c:numRef>
              <c:f>'Efficiency randomly modified'!$D$2</c:f>
              <c:numCache/>
            </c:numRef>
          </c:yVal>
          <c:bubbleSize>
            <c:numRef>
              <c:f>'Efficiency randomly modified'!$E$2</c:f>
            </c:numRef>
          </c:bubbleSize>
        </c:ser>
        <c:ser>
          <c:idx val="1"/>
          <c:order val="1"/>
          <c:tx>
            <c:v>0.5 &lt; Cos φ &lt;= 0.7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</c:f>
            </c:strRef>
          </c:xVal>
          <c:yVal>
            <c:numRef>
              <c:f>'Efficiency randomly modified'!$D$3</c:f>
              <c:numCache/>
            </c:numRef>
          </c:yVal>
          <c:bubbleSize>
            <c:numRef>
              <c:f>'Efficiency randomly modified'!$E$3</c:f>
            </c:numRef>
          </c:bubbleSize>
        </c:ser>
        <c:ser>
          <c:idx val="2"/>
          <c:order val="2"/>
          <c:tx>
            <c:v>0.7 &lt; Cos φ &lt;= 0.8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</c:f>
            </c:strRef>
          </c:xVal>
          <c:yVal>
            <c:numRef>
              <c:f>'Efficiency randomly modified'!$D$4</c:f>
              <c:numCache/>
            </c:numRef>
          </c:yVal>
          <c:bubbleSize>
            <c:numRef>
              <c:f>'Efficiency randomly modified'!$E$4</c:f>
            </c:numRef>
          </c:bubbleSize>
        </c:ser>
        <c:ser>
          <c:idx val="3"/>
          <c:order val="3"/>
          <c:tx>
            <c:v>0.8 &lt; Cos φ &lt;= 0.9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</c:f>
            </c:strRef>
          </c:xVal>
          <c:yVal>
            <c:numRef>
              <c:f>'Efficiency randomly modified'!$D$5</c:f>
              <c:numCache/>
            </c:numRef>
          </c:yVal>
          <c:bubbleSize>
            <c:numRef>
              <c:f>'Efficiency randomly modified'!$E$5</c:f>
            </c:numRef>
          </c:bubbleSize>
        </c:ser>
        <c:ser>
          <c:idx val="4"/>
          <c:order val="4"/>
          <c:tx>
            <c:v>0.9 &lt; Cos φ &lt;= 1.01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</c:f>
            </c:strRef>
          </c:xVal>
          <c:yVal>
            <c:numRef>
              <c:f>'Efficiency randomly modified'!$D$6</c:f>
              <c:numCache/>
            </c:numRef>
          </c:yVal>
          <c:bubbleSize>
            <c:numRef>
              <c:f>'Efficiency randomly modified'!$E$6</c:f>
            </c:numRef>
          </c:bubbleSize>
        </c:ser>
        <c:ser>
          <c:idx val="5"/>
          <c:order val="5"/>
          <c:tx>
            <c:strRef>
              <c:f>'Efficiency randomly modified'!$A$7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</c:f>
            </c:strRef>
          </c:xVal>
          <c:yVal>
            <c:numRef>
              <c:f>'Efficiency randomly modified'!$D$7</c:f>
              <c:numCache/>
            </c:numRef>
          </c:yVal>
          <c:bubbleSize>
            <c:numRef>
              <c:f>'Efficiency randomly modified'!$E$7</c:f>
            </c:numRef>
          </c:bubbleSize>
        </c:ser>
        <c:ser>
          <c:idx val="6"/>
          <c:order val="6"/>
          <c:tx>
            <c:strRef>
              <c:f>'Efficiency randomly modified'!$A$8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</c:f>
            </c:strRef>
          </c:xVal>
          <c:yVal>
            <c:numRef>
              <c:f>'Efficiency randomly modified'!$D$8</c:f>
              <c:numCache/>
            </c:numRef>
          </c:yVal>
          <c:bubbleSize>
            <c:numRef>
              <c:f>'Efficiency randomly modified'!$E$8</c:f>
            </c:numRef>
          </c:bubbleSize>
        </c:ser>
        <c:ser>
          <c:idx val="7"/>
          <c:order val="7"/>
          <c:tx>
            <c:strRef>
              <c:f>'Efficiency randomly modified'!$A$9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</c:f>
            </c:strRef>
          </c:xVal>
          <c:yVal>
            <c:numRef>
              <c:f>'Efficiency randomly modified'!$D$9</c:f>
              <c:numCache/>
            </c:numRef>
          </c:yVal>
          <c:bubbleSize>
            <c:numRef>
              <c:f>'Efficiency randomly modified'!$E$9</c:f>
            </c:numRef>
          </c:bubbleSize>
        </c:ser>
        <c:ser>
          <c:idx val="8"/>
          <c:order val="8"/>
          <c:tx>
            <c:strRef>
              <c:f>'Efficiency randomly modified'!$A$10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modified'!$B$10</c:f>
            </c:strRef>
          </c:xVal>
          <c:yVal>
            <c:numRef>
              <c:f>'Efficiency randomly modified'!$D$10</c:f>
              <c:numCache/>
            </c:numRef>
          </c:yVal>
          <c:bubbleSize>
            <c:numRef>
              <c:f>'Efficiency randomly modified'!$E$10</c:f>
            </c:numRef>
          </c:bubbleSize>
        </c:ser>
        <c:ser>
          <c:idx val="9"/>
          <c:order val="9"/>
          <c:tx>
            <c:strRef>
              <c:f>'Efficiency randomly modified'!$A$11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modified'!$B$11</c:f>
            </c:strRef>
          </c:xVal>
          <c:yVal>
            <c:numRef>
              <c:f>'Efficiency randomly modified'!$D$11</c:f>
              <c:numCache/>
            </c:numRef>
          </c:yVal>
          <c:bubbleSize>
            <c:numRef>
              <c:f>'Efficiency randomly modified'!$E$11</c:f>
            </c:numRef>
          </c:bubbleSize>
        </c:ser>
        <c:ser>
          <c:idx val="10"/>
          <c:order val="10"/>
          <c:tx>
            <c:strRef>
              <c:f>'Efficiency randomly modified'!$A$12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modified'!$B$12</c:f>
            </c:strRef>
          </c:xVal>
          <c:yVal>
            <c:numRef>
              <c:f>'Efficiency randomly modified'!$D$12</c:f>
              <c:numCache/>
            </c:numRef>
          </c:yVal>
          <c:bubbleSize>
            <c:numRef>
              <c:f>'Efficiency randomly modified'!$E$12</c:f>
            </c:numRef>
          </c:bubbleSize>
        </c:ser>
        <c:ser>
          <c:idx val="11"/>
          <c:order val="11"/>
          <c:tx>
            <c:strRef>
              <c:f>'Efficiency randomly modified'!$A$13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modified'!$B$13</c:f>
            </c:strRef>
          </c:xVal>
          <c:yVal>
            <c:numRef>
              <c:f>'Efficiency randomly modified'!$D$13</c:f>
              <c:numCache/>
            </c:numRef>
          </c:yVal>
          <c:bubbleSize>
            <c:numRef>
              <c:f>'Efficiency randomly modified'!$E$13</c:f>
            </c:numRef>
          </c:bubbleSize>
        </c:ser>
        <c:ser>
          <c:idx val="12"/>
          <c:order val="12"/>
          <c:tx>
            <c:strRef>
              <c:f>'Efficiency randomly modified'!$A$14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modified'!$B$14</c:f>
            </c:strRef>
          </c:xVal>
          <c:yVal>
            <c:numRef>
              <c:f>'Efficiency randomly modified'!$D$14</c:f>
              <c:numCache/>
            </c:numRef>
          </c:yVal>
          <c:bubbleSize>
            <c:numRef>
              <c:f>'Efficiency randomly modified'!$E$14</c:f>
            </c:numRef>
          </c:bubbleSize>
        </c:ser>
        <c:ser>
          <c:idx val="13"/>
          <c:order val="13"/>
          <c:tx>
            <c:strRef>
              <c:f>'Efficiency randomly modified'!$A$15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modified'!$B$15</c:f>
            </c:strRef>
          </c:xVal>
          <c:yVal>
            <c:numRef>
              <c:f>'Efficiency randomly modified'!$D$15</c:f>
              <c:numCache/>
            </c:numRef>
          </c:yVal>
          <c:bubbleSize>
            <c:numRef>
              <c:f>'Efficiency randomly modified'!$E$15</c:f>
            </c:numRef>
          </c:bubbleSize>
        </c:ser>
        <c:ser>
          <c:idx val="14"/>
          <c:order val="14"/>
          <c:tx>
            <c:strRef>
              <c:f>'Efficiency randomly modified'!$A$16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modified'!$B$16</c:f>
            </c:strRef>
          </c:xVal>
          <c:yVal>
            <c:numRef>
              <c:f>'Efficiency randomly modified'!$D$16</c:f>
              <c:numCache/>
            </c:numRef>
          </c:yVal>
          <c:bubbleSize>
            <c:numRef>
              <c:f>'Efficiency randomly modified'!$E$16</c:f>
            </c:numRef>
          </c:bubbleSize>
        </c:ser>
        <c:ser>
          <c:idx val="15"/>
          <c:order val="15"/>
          <c:tx>
            <c:strRef>
              <c:f>'Efficiency randomly modified'!$A$17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modified'!$B$17</c:f>
            </c:strRef>
          </c:xVal>
          <c:yVal>
            <c:numRef>
              <c:f>'Efficiency randomly modified'!$D$17</c:f>
              <c:numCache/>
            </c:numRef>
          </c:yVal>
          <c:bubbleSize>
            <c:numRef>
              <c:f>'Efficiency randomly modified'!$E$17</c:f>
            </c:numRef>
          </c:bubbleSize>
        </c:ser>
        <c:ser>
          <c:idx val="16"/>
          <c:order val="16"/>
          <c:tx>
            <c:strRef>
              <c:f>'Efficiency randomly modified'!$A$18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modified'!$B$18</c:f>
            </c:strRef>
          </c:xVal>
          <c:yVal>
            <c:numRef>
              <c:f>'Efficiency randomly modified'!$D$18</c:f>
              <c:numCache/>
            </c:numRef>
          </c:yVal>
          <c:bubbleSize>
            <c:numRef>
              <c:f>'Efficiency randomly modified'!$E$18</c:f>
            </c:numRef>
          </c:bubbleSize>
        </c:ser>
        <c:ser>
          <c:idx val="17"/>
          <c:order val="17"/>
          <c:tx>
            <c:strRef>
              <c:f>'Efficiency randomly modified'!$A$19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modified'!$B$19</c:f>
            </c:strRef>
          </c:xVal>
          <c:yVal>
            <c:numRef>
              <c:f>'Efficiency randomly modified'!$D$19</c:f>
              <c:numCache/>
            </c:numRef>
          </c:yVal>
          <c:bubbleSize>
            <c:numRef>
              <c:f>'Efficiency randomly modified'!$E$19</c:f>
            </c:numRef>
          </c:bubbleSize>
        </c:ser>
        <c:ser>
          <c:idx val="18"/>
          <c:order val="18"/>
          <c:tx>
            <c:strRef>
              <c:f>'Efficiency randomly modified'!$A$20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modified'!$B$20</c:f>
            </c:strRef>
          </c:xVal>
          <c:yVal>
            <c:numRef>
              <c:f>'Efficiency randomly modified'!$D$20</c:f>
              <c:numCache/>
            </c:numRef>
          </c:yVal>
          <c:bubbleSize>
            <c:numRef>
              <c:f>'Efficiency randomly modified'!$E$20</c:f>
            </c:numRef>
          </c:bubbleSize>
        </c:ser>
        <c:ser>
          <c:idx val="19"/>
          <c:order val="19"/>
          <c:tx>
            <c:strRef>
              <c:f>'Efficiency randomly modified'!$A$21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modified'!$B$21</c:f>
            </c:strRef>
          </c:xVal>
          <c:yVal>
            <c:numRef>
              <c:f>'Efficiency randomly modified'!$D$21</c:f>
              <c:numCache/>
            </c:numRef>
          </c:yVal>
          <c:bubbleSize>
            <c:numRef>
              <c:f>'Efficiency randomly modified'!$E$21</c:f>
            </c:numRef>
          </c:bubbleSize>
        </c:ser>
        <c:ser>
          <c:idx val="20"/>
          <c:order val="20"/>
          <c:tx>
            <c:strRef>
              <c:f>'Efficiency randomly modified'!$A$22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modified'!$B$22</c:f>
            </c:strRef>
          </c:xVal>
          <c:yVal>
            <c:numRef>
              <c:f>'Efficiency randomly modified'!$D$22</c:f>
              <c:numCache/>
            </c:numRef>
          </c:yVal>
          <c:bubbleSize>
            <c:numRef>
              <c:f>'Efficiency randomly modified'!$E$22</c:f>
            </c:numRef>
          </c:bubbleSize>
        </c:ser>
        <c:ser>
          <c:idx val="21"/>
          <c:order val="21"/>
          <c:tx>
            <c:strRef>
              <c:f>'Efficiency randomly modified'!$A$23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modified'!$B$23</c:f>
            </c:strRef>
          </c:xVal>
          <c:yVal>
            <c:numRef>
              <c:f>'Efficiency randomly modified'!$D$23</c:f>
              <c:numCache/>
            </c:numRef>
          </c:yVal>
          <c:bubbleSize>
            <c:numRef>
              <c:f>'Efficiency randomly modified'!$E$23</c:f>
            </c:numRef>
          </c:bubbleSize>
        </c:ser>
        <c:ser>
          <c:idx val="22"/>
          <c:order val="22"/>
          <c:tx>
            <c:strRef>
              <c:f>'Efficiency randomly modified'!$A$24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modified'!$B$24</c:f>
            </c:strRef>
          </c:xVal>
          <c:yVal>
            <c:numRef>
              <c:f>'Efficiency randomly modified'!$D$24</c:f>
              <c:numCache/>
            </c:numRef>
          </c:yVal>
          <c:bubbleSize>
            <c:numRef>
              <c:f>'Efficiency randomly modified'!$E$24</c:f>
            </c:numRef>
          </c:bubbleSize>
        </c:ser>
        <c:ser>
          <c:idx val="23"/>
          <c:order val="23"/>
          <c:tx>
            <c:strRef>
              <c:f>'Efficiency randomly modified'!$A$25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modified'!$B$25</c:f>
            </c:strRef>
          </c:xVal>
          <c:yVal>
            <c:numRef>
              <c:f>'Efficiency randomly modified'!$D$25</c:f>
              <c:numCache/>
            </c:numRef>
          </c:yVal>
          <c:bubbleSize>
            <c:numRef>
              <c:f>'Efficiency randomly modified'!$E$25</c:f>
            </c:numRef>
          </c:bubbleSize>
        </c:ser>
        <c:ser>
          <c:idx val="24"/>
          <c:order val="24"/>
          <c:tx>
            <c:strRef>
              <c:f>'Efficiency randomly modified'!$A$26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modified'!$B$26</c:f>
            </c:strRef>
          </c:xVal>
          <c:yVal>
            <c:numRef>
              <c:f>'Efficiency randomly modified'!$D$26</c:f>
              <c:numCache/>
            </c:numRef>
          </c:yVal>
          <c:bubbleSize>
            <c:numRef>
              <c:f>'Efficiency randomly modified'!$E$26</c:f>
            </c:numRef>
          </c:bubbleSize>
        </c:ser>
        <c:ser>
          <c:idx val="25"/>
          <c:order val="25"/>
          <c:tx>
            <c:strRef>
              <c:f>'Efficiency randomly modified'!$A$27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modified'!$B$27</c:f>
            </c:strRef>
          </c:xVal>
          <c:yVal>
            <c:numRef>
              <c:f>'Efficiency randomly modified'!$D$27</c:f>
              <c:numCache/>
            </c:numRef>
          </c:yVal>
          <c:bubbleSize>
            <c:numRef>
              <c:f>'Efficiency randomly modified'!$E$27</c:f>
            </c:numRef>
          </c:bubbleSize>
        </c:ser>
        <c:ser>
          <c:idx val="26"/>
          <c:order val="26"/>
          <c:tx>
            <c:strRef>
              <c:f>'Efficiency randomly modified'!$A$28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modified'!$B$28</c:f>
            </c:strRef>
          </c:xVal>
          <c:yVal>
            <c:numRef>
              <c:f>'Efficiency randomly modified'!$D$28</c:f>
              <c:numCache/>
            </c:numRef>
          </c:yVal>
          <c:bubbleSize>
            <c:numRef>
              <c:f>'Efficiency randomly modified'!$E$28</c:f>
            </c:numRef>
          </c:bubbleSize>
        </c:ser>
        <c:ser>
          <c:idx val="27"/>
          <c:order val="27"/>
          <c:tx>
            <c:strRef>
              <c:f>'Efficiency randomly modified'!$A$29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modified'!$B$29</c:f>
            </c:strRef>
          </c:xVal>
          <c:yVal>
            <c:numRef>
              <c:f>'Efficiency randomly modified'!$D$29</c:f>
              <c:numCache/>
            </c:numRef>
          </c:yVal>
          <c:bubbleSize>
            <c:numRef>
              <c:f>'Efficiency randomly modified'!$E$29</c:f>
            </c:numRef>
          </c:bubbleSize>
        </c:ser>
        <c:ser>
          <c:idx val="28"/>
          <c:order val="28"/>
          <c:tx>
            <c:strRef>
              <c:f>'Efficiency randomly modified'!$A$30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modified'!$B$30</c:f>
            </c:strRef>
          </c:xVal>
          <c:yVal>
            <c:numRef>
              <c:f>'Efficiency randomly modified'!$D$30</c:f>
              <c:numCache/>
            </c:numRef>
          </c:yVal>
          <c:bubbleSize>
            <c:numRef>
              <c:f>'Efficiency randomly modified'!$E$30</c:f>
            </c:numRef>
          </c:bubbleSize>
        </c:ser>
        <c:ser>
          <c:idx val="29"/>
          <c:order val="29"/>
          <c:tx>
            <c:strRef>
              <c:f>'Efficiency randomly modified'!$A$31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modified'!$B$31</c:f>
            </c:strRef>
          </c:xVal>
          <c:yVal>
            <c:numRef>
              <c:f>'Efficiency randomly modified'!$D$31</c:f>
              <c:numCache/>
            </c:numRef>
          </c:yVal>
          <c:bubbleSize>
            <c:numRef>
              <c:f>'Efficiency randomly modified'!$E$31</c:f>
            </c:numRef>
          </c:bubbleSize>
        </c:ser>
        <c:ser>
          <c:idx val="30"/>
          <c:order val="30"/>
          <c:tx>
            <c:strRef>
              <c:f>'Efficiency randomly modified'!$A$32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modified'!$B$32</c:f>
            </c:strRef>
          </c:xVal>
          <c:yVal>
            <c:numRef>
              <c:f>'Efficiency randomly modified'!$D$32</c:f>
              <c:numCache/>
            </c:numRef>
          </c:yVal>
          <c:bubbleSize>
            <c:numRef>
              <c:f>'Efficiency randomly modified'!$E$32</c:f>
            </c:numRef>
          </c:bubbleSize>
        </c:ser>
        <c:ser>
          <c:idx val="31"/>
          <c:order val="31"/>
          <c:tx>
            <c:strRef>
              <c:f>'Efficiency randomly modified'!$A$33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modified'!$B$33</c:f>
            </c:strRef>
          </c:xVal>
          <c:yVal>
            <c:numRef>
              <c:f>'Efficiency randomly modified'!$D$33</c:f>
              <c:numCache/>
            </c:numRef>
          </c:yVal>
          <c:bubbleSize>
            <c:numRef>
              <c:f>'Efficiency randomly modified'!$E$33</c:f>
            </c:numRef>
          </c:bubbleSize>
        </c:ser>
        <c:ser>
          <c:idx val="32"/>
          <c:order val="32"/>
          <c:tx>
            <c:strRef>
              <c:f>'Efficiency randomly modified'!$A$34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modified'!$B$34</c:f>
            </c:strRef>
          </c:xVal>
          <c:yVal>
            <c:numRef>
              <c:f>'Efficiency randomly modified'!$D$34</c:f>
              <c:numCache/>
            </c:numRef>
          </c:yVal>
          <c:bubbleSize>
            <c:numRef>
              <c:f>'Efficiency randomly modified'!$E$34</c:f>
            </c:numRef>
          </c:bubbleSize>
        </c:ser>
        <c:ser>
          <c:idx val="33"/>
          <c:order val="33"/>
          <c:tx>
            <c:strRef>
              <c:f>'Efficiency randomly modified'!$A$35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modified'!$B$35</c:f>
            </c:strRef>
          </c:xVal>
          <c:yVal>
            <c:numRef>
              <c:f>'Efficiency randomly modified'!$D$35</c:f>
              <c:numCache/>
            </c:numRef>
          </c:yVal>
          <c:bubbleSize>
            <c:numRef>
              <c:f>'Efficiency randomly modified'!$E$35</c:f>
            </c:numRef>
          </c:bubbleSize>
        </c:ser>
        <c:ser>
          <c:idx val="34"/>
          <c:order val="34"/>
          <c:tx>
            <c:strRef>
              <c:f>'Efficiency randomly modified'!$A$36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modified'!$B$36</c:f>
            </c:strRef>
          </c:xVal>
          <c:yVal>
            <c:numRef>
              <c:f>'Efficiency randomly modified'!$D$36</c:f>
              <c:numCache/>
            </c:numRef>
          </c:yVal>
          <c:bubbleSize>
            <c:numRef>
              <c:f>'Efficiency randomly modified'!$E$36</c:f>
            </c:numRef>
          </c:bubbleSize>
        </c:ser>
        <c:ser>
          <c:idx val="35"/>
          <c:order val="35"/>
          <c:tx>
            <c:strRef>
              <c:f>'Efficiency randomly modified'!$A$37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modified'!$B$37</c:f>
            </c:strRef>
          </c:xVal>
          <c:yVal>
            <c:numRef>
              <c:f>'Efficiency randomly modified'!$D$37</c:f>
              <c:numCache/>
            </c:numRef>
          </c:yVal>
          <c:bubbleSize>
            <c:numRef>
              <c:f>'Efficiency randomly modified'!$E$37</c:f>
            </c:numRef>
          </c:bubbleSize>
        </c:ser>
        <c:ser>
          <c:idx val="36"/>
          <c:order val="36"/>
          <c:tx>
            <c:strRef>
              <c:f>'Efficiency randomly modified'!$A$38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modified'!$B$38</c:f>
            </c:strRef>
          </c:xVal>
          <c:yVal>
            <c:numRef>
              <c:f>'Efficiency randomly modified'!$D$38</c:f>
              <c:numCache/>
            </c:numRef>
          </c:yVal>
          <c:bubbleSize>
            <c:numRef>
              <c:f>'Efficiency randomly modified'!$E$38</c:f>
            </c:numRef>
          </c:bubbleSize>
        </c:ser>
        <c:ser>
          <c:idx val="37"/>
          <c:order val="37"/>
          <c:tx>
            <c:strRef>
              <c:f>'Efficiency randomly modified'!$A$39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modified'!$B$39</c:f>
            </c:strRef>
          </c:xVal>
          <c:yVal>
            <c:numRef>
              <c:f>'Efficiency randomly modified'!$D$39</c:f>
              <c:numCache/>
            </c:numRef>
          </c:yVal>
          <c:bubbleSize>
            <c:numRef>
              <c:f>'Efficiency randomly modified'!$E$39</c:f>
            </c:numRef>
          </c:bubbleSize>
        </c:ser>
        <c:ser>
          <c:idx val="38"/>
          <c:order val="38"/>
          <c:tx>
            <c:strRef>
              <c:f>'Efficiency randomly modified'!$A$40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modified'!$B$40</c:f>
            </c:strRef>
          </c:xVal>
          <c:yVal>
            <c:numRef>
              <c:f>'Efficiency randomly modified'!$D$40</c:f>
              <c:numCache/>
            </c:numRef>
          </c:yVal>
          <c:bubbleSize>
            <c:numRef>
              <c:f>'Efficiency randomly modified'!$E$40</c:f>
            </c:numRef>
          </c:bubbleSize>
        </c:ser>
        <c:ser>
          <c:idx val="39"/>
          <c:order val="39"/>
          <c:tx>
            <c:strRef>
              <c:f>'Efficiency randomly modified'!$A$41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modified'!$B$41</c:f>
            </c:strRef>
          </c:xVal>
          <c:yVal>
            <c:numRef>
              <c:f>'Efficiency randomly modified'!$D$41</c:f>
              <c:numCache/>
            </c:numRef>
          </c:yVal>
          <c:bubbleSize>
            <c:numRef>
              <c:f>'Efficiency randomly modified'!$E$41</c:f>
            </c:numRef>
          </c:bubbleSize>
        </c:ser>
        <c:ser>
          <c:idx val="40"/>
          <c:order val="40"/>
          <c:tx>
            <c:strRef>
              <c:f>'Efficiency randomly modified'!$A$42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modified'!$B$42</c:f>
            </c:strRef>
          </c:xVal>
          <c:yVal>
            <c:numRef>
              <c:f>'Efficiency randomly modified'!$D$42</c:f>
              <c:numCache/>
            </c:numRef>
          </c:yVal>
          <c:bubbleSize>
            <c:numRef>
              <c:f>'Efficiency randomly modified'!$E$42</c:f>
            </c:numRef>
          </c:bubbleSize>
        </c:ser>
        <c:ser>
          <c:idx val="41"/>
          <c:order val="41"/>
          <c:tx>
            <c:strRef>
              <c:f>'Efficiency randomly modified'!$A$43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modified'!$B$43</c:f>
            </c:strRef>
          </c:xVal>
          <c:yVal>
            <c:numRef>
              <c:f>'Efficiency randomly modified'!$D$43</c:f>
              <c:numCache/>
            </c:numRef>
          </c:yVal>
          <c:bubbleSize>
            <c:numRef>
              <c:f>'Efficiency randomly modified'!$E$43</c:f>
            </c:numRef>
          </c:bubbleSize>
        </c:ser>
        <c:ser>
          <c:idx val="42"/>
          <c:order val="42"/>
          <c:tx>
            <c:strRef>
              <c:f>'Efficiency randomly modified'!$A$44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modified'!$B$44</c:f>
            </c:strRef>
          </c:xVal>
          <c:yVal>
            <c:numRef>
              <c:f>'Efficiency randomly modified'!$D$44</c:f>
              <c:numCache/>
            </c:numRef>
          </c:yVal>
          <c:bubbleSize>
            <c:numRef>
              <c:f>'Efficiency randomly modified'!$E$44</c:f>
            </c:numRef>
          </c:bubbleSize>
        </c:ser>
        <c:ser>
          <c:idx val="43"/>
          <c:order val="43"/>
          <c:tx>
            <c:strRef>
              <c:f>'Efficiency randomly modified'!$A$45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modified'!$B$45</c:f>
            </c:strRef>
          </c:xVal>
          <c:yVal>
            <c:numRef>
              <c:f>'Efficiency randomly modified'!$D$45</c:f>
              <c:numCache/>
            </c:numRef>
          </c:yVal>
          <c:bubbleSize>
            <c:numRef>
              <c:f>'Efficiency randomly modified'!$E$45</c:f>
            </c:numRef>
          </c:bubbleSize>
        </c:ser>
        <c:ser>
          <c:idx val="44"/>
          <c:order val="44"/>
          <c:tx>
            <c:strRef>
              <c:f>'Efficiency randomly modified'!$A$46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modified'!$B$46</c:f>
            </c:strRef>
          </c:xVal>
          <c:yVal>
            <c:numRef>
              <c:f>'Efficiency randomly modified'!$D$46</c:f>
              <c:numCache/>
            </c:numRef>
          </c:yVal>
          <c:bubbleSize>
            <c:numRef>
              <c:f>'Efficiency randomly modified'!$E$46</c:f>
            </c:numRef>
          </c:bubbleSize>
        </c:ser>
        <c:ser>
          <c:idx val="45"/>
          <c:order val="45"/>
          <c:tx>
            <c:strRef>
              <c:f>'Efficiency randomly modified'!$A$47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modified'!$B$47</c:f>
            </c:strRef>
          </c:xVal>
          <c:yVal>
            <c:numRef>
              <c:f>'Efficiency randomly modified'!$D$47</c:f>
              <c:numCache/>
            </c:numRef>
          </c:yVal>
          <c:bubbleSize>
            <c:numRef>
              <c:f>'Efficiency randomly modified'!$E$47</c:f>
            </c:numRef>
          </c:bubbleSize>
        </c:ser>
        <c:ser>
          <c:idx val="46"/>
          <c:order val="46"/>
          <c:tx>
            <c:strRef>
              <c:f>'Efficiency randomly modified'!$A$48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modified'!$B$48</c:f>
            </c:strRef>
          </c:xVal>
          <c:yVal>
            <c:numRef>
              <c:f>'Efficiency randomly modified'!$D$48</c:f>
              <c:numCache/>
            </c:numRef>
          </c:yVal>
          <c:bubbleSize>
            <c:numRef>
              <c:f>'Efficiency randomly modified'!$E$48</c:f>
            </c:numRef>
          </c:bubbleSize>
        </c:ser>
        <c:ser>
          <c:idx val="47"/>
          <c:order val="47"/>
          <c:tx>
            <c:strRef>
              <c:f>'Efficiency randomly modified'!$A$49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modified'!$B$49</c:f>
            </c:strRef>
          </c:xVal>
          <c:yVal>
            <c:numRef>
              <c:f>'Efficiency randomly modified'!$D$49</c:f>
              <c:numCache/>
            </c:numRef>
          </c:yVal>
          <c:bubbleSize>
            <c:numRef>
              <c:f>'Efficiency randomly modified'!$E$49</c:f>
            </c:numRef>
          </c:bubbleSize>
        </c:ser>
        <c:ser>
          <c:idx val="48"/>
          <c:order val="48"/>
          <c:tx>
            <c:strRef>
              <c:f>'Efficiency randomly modified'!$A$50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modified'!$B$50</c:f>
            </c:strRef>
          </c:xVal>
          <c:yVal>
            <c:numRef>
              <c:f>'Efficiency randomly modified'!$D$50</c:f>
              <c:numCache/>
            </c:numRef>
          </c:yVal>
          <c:bubbleSize>
            <c:numRef>
              <c:f>'Efficiency randomly modified'!$E$50</c:f>
            </c:numRef>
          </c:bubbleSize>
        </c:ser>
        <c:ser>
          <c:idx val="49"/>
          <c:order val="49"/>
          <c:tx>
            <c:strRef>
              <c:f>'Efficiency randomly modified'!$A$51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modified'!$B$51</c:f>
            </c:strRef>
          </c:xVal>
          <c:yVal>
            <c:numRef>
              <c:f>'Efficiency randomly modified'!$D$51</c:f>
              <c:numCache/>
            </c:numRef>
          </c:yVal>
          <c:bubbleSize>
            <c:numRef>
              <c:f>'Efficiency randomly modified'!$E$51</c:f>
            </c:numRef>
          </c:bubbleSize>
        </c:ser>
        <c:ser>
          <c:idx val="50"/>
          <c:order val="50"/>
          <c:tx>
            <c:strRef>
              <c:f>'Efficiency randomly modified'!$A$52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modified'!$B$52</c:f>
            </c:strRef>
          </c:xVal>
          <c:yVal>
            <c:numRef>
              <c:f>'Efficiency randomly modified'!$D$52</c:f>
              <c:numCache/>
            </c:numRef>
          </c:yVal>
          <c:bubbleSize>
            <c:numRef>
              <c:f>'Efficiency randomly modified'!$E$52</c:f>
            </c:numRef>
          </c:bubbleSize>
        </c:ser>
        <c:ser>
          <c:idx val="51"/>
          <c:order val="51"/>
          <c:tx>
            <c:strRef>
              <c:f>'Efficiency randomly modified'!$A$53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modified'!$B$53</c:f>
            </c:strRef>
          </c:xVal>
          <c:yVal>
            <c:numRef>
              <c:f>'Efficiency randomly modified'!$D$53</c:f>
              <c:numCache/>
            </c:numRef>
          </c:yVal>
          <c:bubbleSize>
            <c:numRef>
              <c:f>'Efficiency randomly modified'!$E$53</c:f>
            </c:numRef>
          </c:bubbleSize>
        </c:ser>
        <c:ser>
          <c:idx val="52"/>
          <c:order val="52"/>
          <c:tx>
            <c:strRef>
              <c:f>'Efficiency randomly modified'!$A$54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modified'!$B$54</c:f>
            </c:strRef>
          </c:xVal>
          <c:yVal>
            <c:numRef>
              <c:f>'Efficiency randomly modified'!$D$54</c:f>
              <c:numCache/>
            </c:numRef>
          </c:yVal>
          <c:bubbleSize>
            <c:numRef>
              <c:f>'Efficiency randomly modified'!$E$54</c:f>
            </c:numRef>
          </c:bubbleSize>
        </c:ser>
        <c:ser>
          <c:idx val="53"/>
          <c:order val="53"/>
          <c:tx>
            <c:strRef>
              <c:f>'Efficiency randomly modified'!$A$55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modified'!$B$55</c:f>
            </c:strRef>
          </c:xVal>
          <c:yVal>
            <c:numRef>
              <c:f>'Efficiency randomly modified'!$D$55</c:f>
              <c:numCache/>
            </c:numRef>
          </c:yVal>
          <c:bubbleSize>
            <c:numRef>
              <c:f>'Efficiency randomly modified'!$E$55</c:f>
            </c:numRef>
          </c:bubbleSize>
        </c:ser>
        <c:ser>
          <c:idx val="54"/>
          <c:order val="54"/>
          <c:tx>
            <c:strRef>
              <c:f>'Efficiency randomly modified'!$A$56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modified'!$B$56</c:f>
            </c:strRef>
          </c:xVal>
          <c:yVal>
            <c:numRef>
              <c:f>'Efficiency randomly modified'!$D$56</c:f>
              <c:numCache/>
            </c:numRef>
          </c:yVal>
          <c:bubbleSize>
            <c:numRef>
              <c:f>'Efficiency randomly modified'!$E$56</c:f>
            </c:numRef>
          </c:bubbleSize>
        </c:ser>
        <c:ser>
          <c:idx val="55"/>
          <c:order val="55"/>
          <c:tx>
            <c:strRef>
              <c:f>'Efficiency randomly modified'!$A$57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modified'!$B$57</c:f>
            </c:strRef>
          </c:xVal>
          <c:yVal>
            <c:numRef>
              <c:f>'Efficiency randomly modified'!$D$57</c:f>
              <c:numCache/>
            </c:numRef>
          </c:yVal>
          <c:bubbleSize>
            <c:numRef>
              <c:f>'Efficiency randomly modified'!$E$57</c:f>
            </c:numRef>
          </c:bubbleSize>
        </c:ser>
        <c:ser>
          <c:idx val="56"/>
          <c:order val="56"/>
          <c:tx>
            <c:strRef>
              <c:f>'Efficiency randomly modified'!$A$58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modified'!$B$58</c:f>
            </c:strRef>
          </c:xVal>
          <c:yVal>
            <c:numRef>
              <c:f>'Efficiency randomly modified'!$D$58</c:f>
              <c:numCache/>
            </c:numRef>
          </c:yVal>
          <c:bubbleSize>
            <c:numRef>
              <c:f>'Efficiency randomly modified'!$E$58</c:f>
            </c:numRef>
          </c:bubbleSize>
        </c:ser>
        <c:ser>
          <c:idx val="57"/>
          <c:order val="57"/>
          <c:tx>
            <c:strRef>
              <c:f>'Efficiency randomly modified'!$A$59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modified'!$B$59</c:f>
            </c:strRef>
          </c:xVal>
          <c:yVal>
            <c:numRef>
              <c:f>'Efficiency randomly modified'!$D$59</c:f>
              <c:numCache/>
            </c:numRef>
          </c:yVal>
          <c:bubbleSize>
            <c:numRef>
              <c:f>'Efficiency randomly modified'!$E$59</c:f>
            </c:numRef>
          </c:bubbleSize>
        </c:ser>
        <c:ser>
          <c:idx val="58"/>
          <c:order val="58"/>
          <c:tx>
            <c:strRef>
              <c:f>'Efficiency randomly modified'!$A$60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modified'!$B$60</c:f>
            </c:strRef>
          </c:xVal>
          <c:yVal>
            <c:numRef>
              <c:f>'Efficiency randomly modified'!$D$60</c:f>
              <c:numCache/>
            </c:numRef>
          </c:yVal>
          <c:bubbleSize>
            <c:numRef>
              <c:f>'Efficiency randomly modified'!$E$60</c:f>
            </c:numRef>
          </c:bubbleSize>
        </c:ser>
        <c:ser>
          <c:idx val="59"/>
          <c:order val="59"/>
          <c:tx>
            <c:strRef>
              <c:f>'Efficiency randomly modified'!$A$61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modified'!$B$61</c:f>
            </c:strRef>
          </c:xVal>
          <c:yVal>
            <c:numRef>
              <c:f>'Efficiency randomly modified'!$D$61</c:f>
              <c:numCache/>
            </c:numRef>
          </c:yVal>
          <c:bubbleSize>
            <c:numRef>
              <c:f>'Efficiency randomly modified'!$E$61</c:f>
            </c:numRef>
          </c:bubbleSize>
        </c:ser>
        <c:ser>
          <c:idx val="60"/>
          <c:order val="60"/>
          <c:tx>
            <c:strRef>
              <c:f>'Efficiency randomly modified'!$A$62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modified'!$B$62</c:f>
            </c:strRef>
          </c:xVal>
          <c:yVal>
            <c:numRef>
              <c:f>'Efficiency randomly modified'!$D$62</c:f>
              <c:numCache/>
            </c:numRef>
          </c:yVal>
          <c:bubbleSize>
            <c:numRef>
              <c:f>'Efficiency randomly modified'!$E$62</c:f>
            </c:numRef>
          </c:bubbleSize>
        </c:ser>
        <c:ser>
          <c:idx val="61"/>
          <c:order val="61"/>
          <c:tx>
            <c:strRef>
              <c:f>'Efficiency randomly modified'!$A$63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modified'!$B$63</c:f>
            </c:strRef>
          </c:xVal>
          <c:yVal>
            <c:numRef>
              <c:f>'Efficiency randomly modified'!$D$63</c:f>
              <c:numCache/>
            </c:numRef>
          </c:yVal>
          <c:bubbleSize>
            <c:numRef>
              <c:f>'Efficiency randomly modified'!$E$63</c:f>
            </c:numRef>
          </c:bubbleSize>
        </c:ser>
        <c:ser>
          <c:idx val="62"/>
          <c:order val="62"/>
          <c:tx>
            <c:strRef>
              <c:f>'Efficiency randomly modified'!$A$64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modified'!$B$64</c:f>
            </c:strRef>
          </c:xVal>
          <c:yVal>
            <c:numRef>
              <c:f>'Efficiency randomly modified'!$D$64</c:f>
              <c:numCache/>
            </c:numRef>
          </c:yVal>
          <c:bubbleSize>
            <c:numRef>
              <c:f>'Efficiency randomly modified'!$E$64</c:f>
            </c:numRef>
          </c:bubbleSize>
        </c:ser>
        <c:ser>
          <c:idx val="63"/>
          <c:order val="63"/>
          <c:tx>
            <c:strRef>
              <c:f>'Efficiency randomly modified'!$A$65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modified'!$B$65</c:f>
            </c:strRef>
          </c:xVal>
          <c:yVal>
            <c:numRef>
              <c:f>'Efficiency randomly modified'!$D$65</c:f>
              <c:numCache/>
            </c:numRef>
          </c:yVal>
          <c:bubbleSize>
            <c:numRef>
              <c:f>'Efficiency randomly modified'!$E$65</c:f>
            </c:numRef>
          </c:bubbleSize>
        </c:ser>
        <c:ser>
          <c:idx val="64"/>
          <c:order val="64"/>
          <c:tx>
            <c:strRef>
              <c:f>'Efficiency randomly modified'!$A$66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modified'!$B$66</c:f>
            </c:strRef>
          </c:xVal>
          <c:yVal>
            <c:numRef>
              <c:f>'Efficiency randomly modified'!$D$66</c:f>
              <c:numCache/>
            </c:numRef>
          </c:yVal>
          <c:bubbleSize>
            <c:numRef>
              <c:f>'Efficiency randomly modified'!$E$66</c:f>
            </c:numRef>
          </c:bubbleSize>
        </c:ser>
        <c:ser>
          <c:idx val="65"/>
          <c:order val="65"/>
          <c:tx>
            <c:strRef>
              <c:f>'Efficiency randomly modified'!$A$67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modified'!$B$67</c:f>
            </c:strRef>
          </c:xVal>
          <c:yVal>
            <c:numRef>
              <c:f>'Efficiency randomly modified'!$D$67</c:f>
              <c:numCache/>
            </c:numRef>
          </c:yVal>
          <c:bubbleSize>
            <c:numRef>
              <c:f>'Efficiency randomly modified'!$E$67</c:f>
            </c:numRef>
          </c:bubbleSize>
        </c:ser>
        <c:ser>
          <c:idx val="66"/>
          <c:order val="66"/>
          <c:tx>
            <c:strRef>
              <c:f>'Efficiency randomly modified'!$A$68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modified'!$B$68</c:f>
            </c:strRef>
          </c:xVal>
          <c:yVal>
            <c:numRef>
              <c:f>'Efficiency randomly modified'!$D$68</c:f>
              <c:numCache/>
            </c:numRef>
          </c:yVal>
          <c:bubbleSize>
            <c:numRef>
              <c:f>'Efficiency randomly modified'!$E$68</c:f>
            </c:numRef>
          </c:bubbleSize>
        </c:ser>
        <c:ser>
          <c:idx val="67"/>
          <c:order val="67"/>
          <c:tx>
            <c:strRef>
              <c:f>'Efficiency randomly modified'!$A$69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modified'!$B$69</c:f>
            </c:strRef>
          </c:xVal>
          <c:yVal>
            <c:numRef>
              <c:f>'Efficiency randomly modified'!$D$69</c:f>
              <c:numCache/>
            </c:numRef>
          </c:yVal>
          <c:bubbleSize>
            <c:numRef>
              <c:f>'Efficiency randomly modified'!$E$69</c:f>
            </c:numRef>
          </c:bubbleSize>
        </c:ser>
        <c:ser>
          <c:idx val="68"/>
          <c:order val="68"/>
          <c:tx>
            <c:strRef>
              <c:f>'Efficiency randomly modified'!$A$70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modified'!$B$70</c:f>
            </c:strRef>
          </c:xVal>
          <c:yVal>
            <c:numRef>
              <c:f>'Efficiency randomly modified'!$D$70</c:f>
              <c:numCache/>
            </c:numRef>
          </c:yVal>
          <c:bubbleSize>
            <c:numRef>
              <c:f>'Efficiency randomly modified'!$E$70</c:f>
            </c:numRef>
          </c:bubbleSize>
        </c:ser>
        <c:ser>
          <c:idx val="69"/>
          <c:order val="69"/>
          <c:tx>
            <c:strRef>
              <c:f>'Efficiency randomly modified'!$A$71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modified'!$B$71</c:f>
            </c:strRef>
          </c:xVal>
          <c:yVal>
            <c:numRef>
              <c:f>'Efficiency randomly modified'!$D$71</c:f>
              <c:numCache/>
            </c:numRef>
          </c:yVal>
          <c:bubbleSize>
            <c:numRef>
              <c:f>'Efficiency randomly modified'!$E$71</c:f>
            </c:numRef>
          </c:bubbleSize>
        </c:ser>
        <c:ser>
          <c:idx val="70"/>
          <c:order val="70"/>
          <c:tx>
            <c:strRef>
              <c:f>'Efficiency randomly modified'!$A$72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modified'!$B$72</c:f>
            </c:strRef>
          </c:xVal>
          <c:yVal>
            <c:numRef>
              <c:f>'Efficiency randomly modified'!$D$72</c:f>
              <c:numCache/>
            </c:numRef>
          </c:yVal>
          <c:bubbleSize>
            <c:numRef>
              <c:f>'Efficiency randomly modified'!$E$72</c:f>
            </c:numRef>
          </c:bubbleSize>
        </c:ser>
        <c:ser>
          <c:idx val="71"/>
          <c:order val="71"/>
          <c:tx>
            <c:strRef>
              <c:f>'Efficiency randomly modified'!$A$73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modified'!$B$73</c:f>
            </c:strRef>
          </c:xVal>
          <c:yVal>
            <c:numRef>
              <c:f>'Efficiency randomly modified'!$D$73</c:f>
              <c:numCache/>
            </c:numRef>
          </c:yVal>
          <c:bubbleSize>
            <c:numRef>
              <c:f>'Efficiency randomly modified'!$E$73</c:f>
            </c:numRef>
          </c:bubbleSize>
        </c:ser>
        <c:ser>
          <c:idx val="72"/>
          <c:order val="72"/>
          <c:tx>
            <c:strRef>
              <c:f>'Efficiency randomly modified'!$A$74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modified'!$B$74</c:f>
            </c:strRef>
          </c:xVal>
          <c:yVal>
            <c:numRef>
              <c:f>'Efficiency randomly modified'!$D$74</c:f>
              <c:numCache/>
            </c:numRef>
          </c:yVal>
          <c:bubbleSize>
            <c:numRef>
              <c:f>'Efficiency randomly modified'!$E$74</c:f>
            </c:numRef>
          </c:bubbleSize>
        </c:ser>
        <c:ser>
          <c:idx val="73"/>
          <c:order val="73"/>
          <c:tx>
            <c:strRef>
              <c:f>'Efficiency randomly modified'!$A$75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modified'!$B$75</c:f>
            </c:strRef>
          </c:xVal>
          <c:yVal>
            <c:numRef>
              <c:f>'Efficiency randomly modified'!$D$75</c:f>
              <c:numCache/>
            </c:numRef>
          </c:yVal>
          <c:bubbleSize>
            <c:numRef>
              <c:f>'Efficiency randomly modified'!$E$75</c:f>
            </c:numRef>
          </c:bubbleSize>
        </c:ser>
        <c:ser>
          <c:idx val="74"/>
          <c:order val="74"/>
          <c:tx>
            <c:strRef>
              <c:f>'Efficiency randomly modified'!$A$76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modified'!$B$76</c:f>
            </c:strRef>
          </c:xVal>
          <c:yVal>
            <c:numRef>
              <c:f>'Efficiency randomly modified'!$D$76</c:f>
              <c:numCache/>
            </c:numRef>
          </c:yVal>
          <c:bubbleSize>
            <c:numRef>
              <c:f>'Efficiency randomly modified'!$E$76</c:f>
            </c:numRef>
          </c:bubbleSize>
        </c:ser>
        <c:ser>
          <c:idx val="75"/>
          <c:order val="75"/>
          <c:tx>
            <c:strRef>
              <c:f>'Efficiency randomly modified'!$A$77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modified'!$B$77</c:f>
            </c:strRef>
          </c:xVal>
          <c:yVal>
            <c:numRef>
              <c:f>'Efficiency randomly modified'!$D$77</c:f>
              <c:numCache/>
            </c:numRef>
          </c:yVal>
          <c:bubbleSize>
            <c:numRef>
              <c:f>'Efficiency randomly modified'!$E$77</c:f>
            </c:numRef>
          </c:bubbleSize>
        </c:ser>
        <c:ser>
          <c:idx val="76"/>
          <c:order val="76"/>
          <c:tx>
            <c:strRef>
              <c:f>'Efficiency randomly modified'!$A$78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modified'!$B$78</c:f>
            </c:strRef>
          </c:xVal>
          <c:yVal>
            <c:numRef>
              <c:f>'Efficiency randomly modified'!$D$78</c:f>
              <c:numCache/>
            </c:numRef>
          </c:yVal>
          <c:bubbleSize>
            <c:numRef>
              <c:f>'Efficiency randomly modified'!$E$78</c:f>
            </c:numRef>
          </c:bubbleSize>
        </c:ser>
        <c:ser>
          <c:idx val="77"/>
          <c:order val="77"/>
          <c:tx>
            <c:strRef>
              <c:f>'Efficiency randomly modified'!$A$79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modified'!$B$79</c:f>
            </c:strRef>
          </c:xVal>
          <c:yVal>
            <c:numRef>
              <c:f>'Efficiency randomly modified'!$D$79</c:f>
              <c:numCache/>
            </c:numRef>
          </c:yVal>
          <c:bubbleSize>
            <c:numRef>
              <c:f>'Efficiency randomly modified'!$E$79</c:f>
            </c:numRef>
          </c:bubbleSize>
        </c:ser>
        <c:ser>
          <c:idx val="78"/>
          <c:order val="78"/>
          <c:tx>
            <c:strRef>
              <c:f>'Efficiency randomly modified'!$A$80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modified'!$B$80</c:f>
            </c:strRef>
          </c:xVal>
          <c:yVal>
            <c:numRef>
              <c:f>'Efficiency randomly modified'!$D$80</c:f>
              <c:numCache/>
            </c:numRef>
          </c:yVal>
          <c:bubbleSize>
            <c:numRef>
              <c:f>'Efficiency randomly modified'!$E$80</c:f>
            </c:numRef>
          </c:bubbleSize>
        </c:ser>
        <c:ser>
          <c:idx val="79"/>
          <c:order val="79"/>
          <c:tx>
            <c:strRef>
              <c:f>'Efficiency randomly modified'!$A$81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modified'!$B$81</c:f>
            </c:strRef>
          </c:xVal>
          <c:yVal>
            <c:numRef>
              <c:f>'Efficiency randomly modified'!$D$81</c:f>
              <c:numCache/>
            </c:numRef>
          </c:yVal>
          <c:bubbleSize>
            <c:numRef>
              <c:f>'Efficiency randomly modified'!$E$81</c:f>
            </c:numRef>
          </c:bubbleSize>
        </c:ser>
        <c:ser>
          <c:idx val="80"/>
          <c:order val="80"/>
          <c:tx>
            <c:strRef>
              <c:f>'Efficiency randomly modified'!$A$82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modified'!$B$82</c:f>
            </c:strRef>
          </c:xVal>
          <c:yVal>
            <c:numRef>
              <c:f>'Efficiency randomly modified'!$D$82</c:f>
              <c:numCache/>
            </c:numRef>
          </c:yVal>
          <c:bubbleSize>
            <c:numRef>
              <c:f>'Efficiency randomly modified'!$E$82</c:f>
            </c:numRef>
          </c:bubbleSize>
        </c:ser>
        <c:ser>
          <c:idx val="81"/>
          <c:order val="81"/>
          <c:tx>
            <c:strRef>
              <c:f>'Efficiency randomly modified'!$A$83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modified'!$B$83</c:f>
            </c:strRef>
          </c:xVal>
          <c:yVal>
            <c:numRef>
              <c:f>'Efficiency randomly modified'!$D$83</c:f>
              <c:numCache/>
            </c:numRef>
          </c:yVal>
          <c:bubbleSize>
            <c:numRef>
              <c:f>'Efficiency randomly modified'!$E$83</c:f>
            </c:numRef>
          </c:bubbleSize>
        </c:ser>
        <c:ser>
          <c:idx val="82"/>
          <c:order val="82"/>
          <c:tx>
            <c:strRef>
              <c:f>'Efficiency randomly modified'!$A$84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modified'!$B$84</c:f>
            </c:strRef>
          </c:xVal>
          <c:yVal>
            <c:numRef>
              <c:f>'Efficiency randomly modified'!$D$84</c:f>
              <c:numCache/>
            </c:numRef>
          </c:yVal>
          <c:bubbleSize>
            <c:numRef>
              <c:f>'Efficiency randomly modified'!$E$84</c:f>
            </c:numRef>
          </c:bubbleSize>
        </c:ser>
        <c:ser>
          <c:idx val="83"/>
          <c:order val="83"/>
          <c:tx>
            <c:strRef>
              <c:f>'Efficiency randomly modified'!$A$85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modified'!$B$85</c:f>
            </c:strRef>
          </c:xVal>
          <c:yVal>
            <c:numRef>
              <c:f>'Efficiency randomly modified'!$D$85</c:f>
              <c:numCache/>
            </c:numRef>
          </c:yVal>
          <c:bubbleSize>
            <c:numRef>
              <c:f>'Efficiency randomly modified'!$E$85</c:f>
            </c:numRef>
          </c:bubbleSize>
        </c:ser>
        <c:ser>
          <c:idx val="84"/>
          <c:order val="84"/>
          <c:tx>
            <c:strRef>
              <c:f>'Efficiency randomly modified'!$A$86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modified'!$B$86</c:f>
            </c:strRef>
          </c:xVal>
          <c:yVal>
            <c:numRef>
              <c:f>'Efficiency randomly modified'!$D$86</c:f>
              <c:numCache/>
            </c:numRef>
          </c:yVal>
          <c:bubbleSize>
            <c:numRef>
              <c:f>'Efficiency randomly modified'!$E$86</c:f>
            </c:numRef>
          </c:bubbleSize>
        </c:ser>
        <c:ser>
          <c:idx val="85"/>
          <c:order val="85"/>
          <c:tx>
            <c:strRef>
              <c:f>'Efficiency randomly modified'!$A$87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modified'!$B$87</c:f>
            </c:strRef>
          </c:xVal>
          <c:yVal>
            <c:numRef>
              <c:f>'Efficiency randomly modified'!$D$87</c:f>
              <c:numCache/>
            </c:numRef>
          </c:yVal>
          <c:bubbleSize>
            <c:numRef>
              <c:f>'Efficiency randomly modified'!$E$87</c:f>
            </c:numRef>
          </c:bubbleSize>
        </c:ser>
        <c:ser>
          <c:idx val="86"/>
          <c:order val="86"/>
          <c:tx>
            <c:strRef>
              <c:f>'Efficiency randomly modified'!$A$88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modified'!$B$88</c:f>
            </c:strRef>
          </c:xVal>
          <c:yVal>
            <c:numRef>
              <c:f>'Efficiency randomly modified'!$D$88</c:f>
              <c:numCache/>
            </c:numRef>
          </c:yVal>
          <c:bubbleSize>
            <c:numRef>
              <c:f>'Efficiency randomly modified'!$E$88</c:f>
            </c:numRef>
          </c:bubbleSize>
        </c:ser>
        <c:ser>
          <c:idx val="87"/>
          <c:order val="87"/>
          <c:tx>
            <c:strRef>
              <c:f>'Efficiency randomly modified'!$A$89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modified'!$B$89</c:f>
            </c:strRef>
          </c:xVal>
          <c:yVal>
            <c:numRef>
              <c:f>'Efficiency randomly modified'!$D$89</c:f>
              <c:numCache/>
            </c:numRef>
          </c:yVal>
          <c:bubbleSize>
            <c:numRef>
              <c:f>'Efficiency randomly modified'!$E$89</c:f>
            </c:numRef>
          </c:bubbleSize>
        </c:ser>
        <c:ser>
          <c:idx val="88"/>
          <c:order val="88"/>
          <c:tx>
            <c:strRef>
              <c:f>'Efficiency randomly modified'!$A$90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modified'!$B$90</c:f>
            </c:strRef>
          </c:xVal>
          <c:yVal>
            <c:numRef>
              <c:f>'Efficiency randomly modified'!$D$90</c:f>
              <c:numCache/>
            </c:numRef>
          </c:yVal>
          <c:bubbleSize>
            <c:numRef>
              <c:f>'Efficiency randomly modified'!$E$90</c:f>
            </c:numRef>
          </c:bubbleSize>
        </c:ser>
        <c:ser>
          <c:idx val="89"/>
          <c:order val="89"/>
          <c:tx>
            <c:strRef>
              <c:f>'Efficiency randomly modified'!$A$91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modified'!$B$91</c:f>
            </c:strRef>
          </c:xVal>
          <c:yVal>
            <c:numRef>
              <c:f>'Efficiency randomly modified'!$D$91</c:f>
              <c:numCache/>
            </c:numRef>
          </c:yVal>
          <c:bubbleSize>
            <c:numRef>
              <c:f>'Efficiency randomly modified'!$E$91</c:f>
            </c:numRef>
          </c:bubbleSize>
        </c:ser>
        <c:ser>
          <c:idx val="90"/>
          <c:order val="90"/>
          <c:tx>
            <c:strRef>
              <c:f>'Efficiency randomly modified'!$A$92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modified'!$B$92</c:f>
            </c:strRef>
          </c:xVal>
          <c:yVal>
            <c:numRef>
              <c:f>'Efficiency randomly modified'!$D$92</c:f>
              <c:numCache/>
            </c:numRef>
          </c:yVal>
          <c:bubbleSize>
            <c:numRef>
              <c:f>'Efficiency randomly modified'!$E$92</c:f>
            </c:numRef>
          </c:bubbleSize>
        </c:ser>
        <c:ser>
          <c:idx val="91"/>
          <c:order val="91"/>
          <c:tx>
            <c:strRef>
              <c:f>'Efficiency randomly modified'!$A$93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modified'!$B$93</c:f>
            </c:strRef>
          </c:xVal>
          <c:yVal>
            <c:numRef>
              <c:f>'Efficiency randomly modified'!$D$93</c:f>
              <c:numCache/>
            </c:numRef>
          </c:yVal>
          <c:bubbleSize>
            <c:numRef>
              <c:f>'Efficiency randomly modified'!$E$93</c:f>
            </c:numRef>
          </c:bubbleSize>
        </c:ser>
        <c:ser>
          <c:idx val="92"/>
          <c:order val="92"/>
          <c:tx>
            <c:strRef>
              <c:f>'Efficiency randomly modified'!$A$94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modified'!$B$94</c:f>
            </c:strRef>
          </c:xVal>
          <c:yVal>
            <c:numRef>
              <c:f>'Efficiency randomly modified'!$D$94</c:f>
              <c:numCache/>
            </c:numRef>
          </c:yVal>
          <c:bubbleSize>
            <c:numRef>
              <c:f>'Efficiency randomly modified'!$E$94</c:f>
            </c:numRef>
          </c:bubbleSize>
        </c:ser>
        <c:ser>
          <c:idx val="93"/>
          <c:order val="93"/>
          <c:tx>
            <c:strRef>
              <c:f>'Efficiency randomly modified'!$A$95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modified'!$B$95</c:f>
            </c:strRef>
          </c:xVal>
          <c:yVal>
            <c:numRef>
              <c:f>'Efficiency randomly modified'!$D$95</c:f>
              <c:numCache/>
            </c:numRef>
          </c:yVal>
          <c:bubbleSize>
            <c:numRef>
              <c:f>'Efficiency randomly modified'!$E$95</c:f>
            </c:numRef>
          </c:bubbleSize>
        </c:ser>
        <c:ser>
          <c:idx val="94"/>
          <c:order val="94"/>
          <c:tx>
            <c:strRef>
              <c:f>'Efficiency randomly modified'!$A$96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modified'!$B$96</c:f>
            </c:strRef>
          </c:xVal>
          <c:yVal>
            <c:numRef>
              <c:f>'Efficiency randomly modified'!$D$96</c:f>
              <c:numCache/>
            </c:numRef>
          </c:yVal>
          <c:bubbleSize>
            <c:numRef>
              <c:f>'Efficiency randomly modified'!$E$96</c:f>
            </c:numRef>
          </c:bubbleSize>
        </c:ser>
        <c:ser>
          <c:idx val="95"/>
          <c:order val="95"/>
          <c:tx>
            <c:strRef>
              <c:f>'Efficiency randomly modified'!$A$97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modified'!$B$97</c:f>
            </c:strRef>
          </c:xVal>
          <c:yVal>
            <c:numRef>
              <c:f>'Efficiency randomly modified'!$D$97</c:f>
              <c:numCache/>
            </c:numRef>
          </c:yVal>
          <c:bubbleSize>
            <c:numRef>
              <c:f>'Efficiency randomly modified'!$E$97</c:f>
            </c:numRef>
          </c:bubbleSize>
        </c:ser>
        <c:ser>
          <c:idx val="96"/>
          <c:order val="96"/>
          <c:tx>
            <c:strRef>
              <c:f>'Efficiency randomly modified'!$A$98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modified'!$B$98</c:f>
            </c:strRef>
          </c:xVal>
          <c:yVal>
            <c:numRef>
              <c:f>'Efficiency randomly modified'!$D$98</c:f>
              <c:numCache/>
            </c:numRef>
          </c:yVal>
          <c:bubbleSize>
            <c:numRef>
              <c:f>'Efficiency randomly modified'!$E$98</c:f>
            </c:numRef>
          </c:bubbleSize>
        </c:ser>
        <c:ser>
          <c:idx val="97"/>
          <c:order val="97"/>
          <c:tx>
            <c:strRef>
              <c:f>'Efficiency randomly modified'!$A$99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modified'!$B$99</c:f>
            </c:strRef>
          </c:xVal>
          <c:yVal>
            <c:numRef>
              <c:f>'Efficiency randomly modified'!$D$99</c:f>
              <c:numCache/>
            </c:numRef>
          </c:yVal>
          <c:bubbleSize>
            <c:numRef>
              <c:f>'Efficiency randomly modified'!$E$99</c:f>
            </c:numRef>
          </c:bubbleSize>
        </c:ser>
        <c:ser>
          <c:idx val="98"/>
          <c:order val="98"/>
          <c:tx>
            <c:strRef>
              <c:f>'Efficiency randomly modified'!$A$100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randomly modified'!$B$100</c:f>
            </c:strRef>
          </c:xVal>
          <c:yVal>
            <c:numRef>
              <c:f>'Efficiency randomly modified'!$D$100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428049552"/>
        <c:axId val="2117740051"/>
      </c:bubbleChart>
      <c:valAx>
        <c:axId val="1428049552"/>
        <c:scaling>
          <c:orientation val="minMax"/>
          <c:max val="4542.822164948454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740051"/>
      </c:valAx>
      <c:valAx>
        <c:axId val="2117740051"/>
        <c:scaling>
          <c:orientation val="minMax"/>
          <c:max val="121.601804123711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049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6F8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Champ d'Efficacité Moteur</a:t>
            </a:r>
          </a:p>
        </c:rich>
      </c:tx>
      <c:layout>
        <c:manualLayout>
          <c:xMode val="edge"/>
          <c:yMode val="edge"/>
          <c:x val="0.03004149377593361"/>
          <c:y val="0.047237569060773484"/>
        </c:manualLayout>
      </c:layout>
      <c:overlay val="0"/>
    </c:title>
    <c:plotArea>
      <c:layout/>
      <c:bubbleChart>
        <c:ser>
          <c:idx val="0"/>
          <c:order val="0"/>
          <c:tx>
            <c:v>Cos φ &lt;= 0.5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</c:f>
            </c:strRef>
          </c:xVal>
          <c:yVal>
            <c:numRef>
              <c:f>'Efficiency frozen modification'!$D$2</c:f>
              <c:numCache/>
            </c:numRef>
          </c:yVal>
          <c:bubbleSize>
            <c:numRef>
              <c:f>'Efficiency frozen modification'!$E$2</c:f>
            </c:numRef>
          </c:bubbleSize>
        </c:ser>
        <c:ser>
          <c:idx val="1"/>
          <c:order val="1"/>
          <c:tx>
            <c:v>0.5 &lt; Cos φ &lt;= 0.7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</c:f>
            </c:strRef>
          </c:xVal>
          <c:yVal>
            <c:numRef>
              <c:f>'Efficiency frozen modification'!$D$3</c:f>
              <c:numCache/>
            </c:numRef>
          </c:yVal>
          <c:bubbleSize>
            <c:numRef>
              <c:f>'Efficiency frozen modification'!$E$3</c:f>
            </c:numRef>
          </c:bubbleSize>
        </c:ser>
        <c:ser>
          <c:idx val="2"/>
          <c:order val="2"/>
          <c:tx>
            <c:v>0.7 &lt; Cos φ &lt;= 0.8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</c:f>
            </c:strRef>
          </c:xVal>
          <c:yVal>
            <c:numRef>
              <c:f>'Efficiency frozen modification'!$D$4</c:f>
              <c:numCache/>
            </c:numRef>
          </c:yVal>
          <c:bubbleSize>
            <c:numRef>
              <c:f>'Efficiency frozen modification'!$E$4</c:f>
            </c:numRef>
          </c:bubbleSize>
        </c:ser>
        <c:ser>
          <c:idx val="3"/>
          <c:order val="3"/>
          <c:tx>
            <c:v>0.8 &lt; Cos φ &lt;= 0.9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</c:f>
            </c:strRef>
          </c:xVal>
          <c:yVal>
            <c:numRef>
              <c:f>'Efficiency frozen modification'!$D$5</c:f>
              <c:numCache/>
            </c:numRef>
          </c:yVal>
          <c:bubbleSize>
            <c:numRef>
              <c:f>'Efficiency frozen modification'!$E$5</c:f>
            </c:numRef>
          </c:bubbleSize>
        </c:ser>
        <c:ser>
          <c:idx val="4"/>
          <c:order val="4"/>
          <c:tx>
            <c:v>0.9 &lt; Cos φ &lt;= 1.01</c:v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</c:f>
            </c:strRef>
          </c:xVal>
          <c:yVal>
            <c:numRef>
              <c:f>'Efficiency frozen modification'!$D$6</c:f>
              <c:numCache/>
            </c:numRef>
          </c:yVal>
          <c:bubbleSize>
            <c:numRef>
              <c:f>'Efficiency frozen modification'!$E$6</c:f>
            </c:numRef>
          </c:bubbleSize>
        </c:ser>
        <c:ser>
          <c:idx val="5"/>
          <c:order val="5"/>
          <c:tx>
            <c:strRef>
              <c:f>'Efficiency frozen modification'!$A$7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</c:f>
            </c:strRef>
          </c:xVal>
          <c:yVal>
            <c:numRef>
              <c:f>'Efficiency frozen modification'!$D$7</c:f>
              <c:numCache/>
            </c:numRef>
          </c:yVal>
          <c:bubbleSize>
            <c:numRef>
              <c:f>'Efficiency frozen modification'!$E$7</c:f>
            </c:numRef>
          </c:bubbleSize>
        </c:ser>
        <c:ser>
          <c:idx val="6"/>
          <c:order val="6"/>
          <c:tx>
            <c:strRef>
              <c:f>'Efficiency frozen modification'!$A$8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</c:f>
            </c:strRef>
          </c:xVal>
          <c:yVal>
            <c:numRef>
              <c:f>'Efficiency frozen modification'!$D$8</c:f>
              <c:numCache/>
            </c:numRef>
          </c:yVal>
          <c:bubbleSize>
            <c:numRef>
              <c:f>'Efficiency frozen modification'!$E$8</c:f>
            </c:numRef>
          </c:bubbleSize>
        </c:ser>
        <c:ser>
          <c:idx val="7"/>
          <c:order val="7"/>
          <c:tx>
            <c:strRef>
              <c:f>'Efficiency frozen modification'!$A$9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</c:f>
            </c:strRef>
          </c:xVal>
          <c:yVal>
            <c:numRef>
              <c:f>'Efficiency frozen modification'!$D$9</c:f>
              <c:numCache/>
            </c:numRef>
          </c:yVal>
          <c:bubbleSize>
            <c:numRef>
              <c:f>'Efficiency frozen modification'!$E$9</c:f>
            </c:numRef>
          </c:bubbleSize>
        </c:ser>
        <c:ser>
          <c:idx val="8"/>
          <c:order val="8"/>
          <c:tx>
            <c:strRef>
              <c:f>'Efficiency frozen modification'!$A$10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modification'!$B$10</c:f>
            </c:strRef>
          </c:xVal>
          <c:yVal>
            <c:numRef>
              <c:f>'Efficiency frozen modification'!$D$10</c:f>
              <c:numCache/>
            </c:numRef>
          </c:yVal>
          <c:bubbleSize>
            <c:numRef>
              <c:f>'Efficiency frozen modification'!$E$10</c:f>
            </c:numRef>
          </c:bubbleSize>
        </c:ser>
        <c:ser>
          <c:idx val="9"/>
          <c:order val="9"/>
          <c:tx>
            <c:strRef>
              <c:f>'Efficiency frozen modification'!$A$11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modification'!$B$11</c:f>
            </c:strRef>
          </c:xVal>
          <c:yVal>
            <c:numRef>
              <c:f>'Efficiency frozen modification'!$D$11</c:f>
              <c:numCache/>
            </c:numRef>
          </c:yVal>
          <c:bubbleSize>
            <c:numRef>
              <c:f>'Efficiency frozen modification'!$E$11</c:f>
            </c:numRef>
          </c:bubbleSize>
        </c:ser>
        <c:ser>
          <c:idx val="10"/>
          <c:order val="10"/>
          <c:tx>
            <c:strRef>
              <c:f>'Efficiency frozen modification'!$A$12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modification'!$B$12</c:f>
            </c:strRef>
          </c:xVal>
          <c:yVal>
            <c:numRef>
              <c:f>'Efficiency frozen modification'!$D$12</c:f>
              <c:numCache/>
            </c:numRef>
          </c:yVal>
          <c:bubbleSize>
            <c:numRef>
              <c:f>'Efficiency frozen modification'!$E$12</c:f>
            </c:numRef>
          </c:bubbleSize>
        </c:ser>
        <c:ser>
          <c:idx val="11"/>
          <c:order val="11"/>
          <c:tx>
            <c:strRef>
              <c:f>'Efficiency frozen modification'!$A$13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modification'!$B$13</c:f>
            </c:strRef>
          </c:xVal>
          <c:yVal>
            <c:numRef>
              <c:f>'Efficiency frozen modification'!$D$13</c:f>
              <c:numCache/>
            </c:numRef>
          </c:yVal>
          <c:bubbleSize>
            <c:numRef>
              <c:f>'Efficiency frozen modification'!$E$13</c:f>
            </c:numRef>
          </c:bubbleSize>
        </c:ser>
        <c:ser>
          <c:idx val="12"/>
          <c:order val="12"/>
          <c:tx>
            <c:strRef>
              <c:f>'Efficiency frozen modification'!$A$14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modification'!$B$14</c:f>
            </c:strRef>
          </c:xVal>
          <c:yVal>
            <c:numRef>
              <c:f>'Efficiency frozen modification'!$D$14</c:f>
              <c:numCache/>
            </c:numRef>
          </c:yVal>
          <c:bubbleSize>
            <c:numRef>
              <c:f>'Efficiency frozen modification'!$E$14</c:f>
            </c:numRef>
          </c:bubbleSize>
        </c:ser>
        <c:ser>
          <c:idx val="13"/>
          <c:order val="13"/>
          <c:tx>
            <c:strRef>
              <c:f>'Efficiency frozen modification'!$A$15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modification'!$B$15</c:f>
            </c:strRef>
          </c:xVal>
          <c:yVal>
            <c:numRef>
              <c:f>'Efficiency frozen modification'!$D$15</c:f>
              <c:numCache/>
            </c:numRef>
          </c:yVal>
          <c:bubbleSize>
            <c:numRef>
              <c:f>'Efficiency frozen modification'!$E$15</c:f>
            </c:numRef>
          </c:bubbleSize>
        </c:ser>
        <c:ser>
          <c:idx val="14"/>
          <c:order val="14"/>
          <c:tx>
            <c:strRef>
              <c:f>'Efficiency frozen modification'!$A$16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modification'!$B$16</c:f>
            </c:strRef>
          </c:xVal>
          <c:yVal>
            <c:numRef>
              <c:f>'Efficiency frozen modification'!$D$16</c:f>
              <c:numCache/>
            </c:numRef>
          </c:yVal>
          <c:bubbleSize>
            <c:numRef>
              <c:f>'Efficiency frozen modification'!$E$16</c:f>
            </c:numRef>
          </c:bubbleSize>
        </c:ser>
        <c:ser>
          <c:idx val="15"/>
          <c:order val="15"/>
          <c:tx>
            <c:strRef>
              <c:f>'Efficiency frozen modification'!$A$17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modification'!$B$17</c:f>
            </c:strRef>
          </c:xVal>
          <c:yVal>
            <c:numRef>
              <c:f>'Efficiency frozen modification'!$D$17</c:f>
              <c:numCache/>
            </c:numRef>
          </c:yVal>
          <c:bubbleSize>
            <c:numRef>
              <c:f>'Efficiency frozen modification'!$E$17</c:f>
            </c:numRef>
          </c:bubbleSize>
        </c:ser>
        <c:ser>
          <c:idx val="16"/>
          <c:order val="16"/>
          <c:tx>
            <c:strRef>
              <c:f>'Efficiency frozen modification'!$A$18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modification'!$B$18</c:f>
            </c:strRef>
          </c:xVal>
          <c:yVal>
            <c:numRef>
              <c:f>'Efficiency frozen modification'!$D$18</c:f>
              <c:numCache/>
            </c:numRef>
          </c:yVal>
          <c:bubbleSize>
            <c:numRef>
              <c:f>'Efficiency frozen modification'!$E$18</c:f>
            </c:numRef>
          </c:bubbleSize>
        </c:ser>
        <c:ser>
          <c:idx val="17"/>
          <c:order val="17"/>
          <c:tx>
            <c:strRef>
              <c:f>'Efficiency frozen modification'!$A$19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modification'!$B$19</c:f>
            </c:strRef>
          </c:xVal>
          <c:yVal>
            <c:numRef>
              <c:f>'Efficiency frozen modification'!$D$19</c:f>
              <c:numCache/>
            </c:numRef>
          </c:yVal>
          <c:bubbleSize>
            <c:numRef>
              <c:f>'Efficiency frozen modification'!$E$19</c:f>
            </c:numRef>
          </c:bubbleSize>
        </c:ser>
        <c:ser>
          <c:idx val="18"/>
          <c:order val="18"/>
          <c:tx>
            <c:strRef>
              <c:f>'Efficiency frozen modification'!$A$20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modification'!$B$20</c:f>
            </c:strRef>
          </c:xVal>
          <c:yVal>
            <c:numRef>
              <c:f>'Efficiency frozen modification'!$D$20</c:f>
              <c:numCache/>
            </c:numRef>
          </c:yVal>
          <c:bubbleSize>
            <c:numRef>
              <c:f>'Efficiency frozen modification'!$E$20</c:f>
            </c:numRef>
          </c:bubbleSize>
        </c:ser>
        <c:ser>
          <c:idx val="19"/>
          <c:order val="19"/>
          <c:tx>
            <c:strRef>
              <c:f>'Efficiency frozen modification'!$A$21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modification'!$B$21</c:f>
            </c:strRef>
          </c:xVal>
          <c:yVal>
            <c:numRef>
              <c:f>'Efficiency frozen modification'!$D$21</c:f>
              <c:numCache/>
            </c:numRef>
          </c:yVal>
          <c:bubbleSize>
            <c:numRef>
              <c:f>'Efficiency frozen modification'!$E$21</c:f>
            </c:numRef>
          </c:bubbleSize>
        </c:ser>
        <c:ser>
          <c:idx val="20"/>
          <c:order val="20"/>
          <c:tx>
            <c:strRef>
              <c:f>'Efficiency frozen modification'!$A$22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modification'!$B$22</c:f>
            </c:strRef>
          </c:xVal>
          <c:yVal>
            <c:numRef>
              <c:f>'Efficiency frozen modification'!$D$22</c:f>
              <c:numCache/>
            </c:numRef>
          </c:yVal>
          <c:bubbleSize>
            <c:numRef>
              <c:f>'Efficiency frozen modification'!$E$22</c:f>
            </c:numRef>
          </c:bubbleSize>
        </c:ser>
        <c:ser>
          <c:idx val="21"/>
          <c:order val="21"/>
          <c:tx>
            <c:strRef>
              <c:f>'Efficiency frozen modification'!$A$23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modification'!$B$23</c:f>
            </c:strRef>
          </c:xVal>
          <c:yVal>
            <c:numRef>
              <c:f>'Efficiency frozen modification'!$D$23</c:f>
              <c:numCache/>
            </c:numRef>
          </c:yVal>
          <c:bubbleSize>
            <c:numRef>
              <c:f>'Efficiency frozen modification'!$E$23</c:f>
            </c:numRef>
          </c:bubbleSize>
        </c:ser>
        <c:ser>
          <c:idx val="22"/>
          <c:order val="22"/>
          <c:tx>
            <c:strRef>
              <c:f>'Efficiency frozen modification'!$A$24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modification'!$B$24</c:f>
            </c:strRef>
          </c:xVal>
          <c:yVal>
            <c:numRef>
              <c:f>'Efficiency frozen modification'!$D$24</c:f>
              <c:numCache/>
            </c:numRef>
          </c:yVal>
          <c:bubbleSize>
            <c:numRef>
              <c:f>'Efficiency frozen modification'!$E$24</c:f>
            </c:numRef>
          </c:bubbleSize>
        </c:ser>
        <c:ser>
          <c:idx val="23"/>
          <c:order val="23"/>
          <c:tx>
            <c:strRef>
              <c:f>'Efficiency frozen modification'!$A$25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modification'!$B$25</c:f>
            </c:strRef>
          </c:xVal>
          <c:yVal>
            <c:numRef>
              <c:f>'Efficiency frozen modification'!$D$25</c:f>
              <c:numCache/>
            </c:numRef>
          </c:yVal>
          <c:bubbleSize>
            <c:numRef>
              <c:f>'Efficiency frozen modification'!$E$25</c:f>
            </c:numRef>
          </c:bubbleSize>
        </c:ser>
        <c:ser>
          <c:idx val="24"/>
          <c:order val="24"/>
          <c:tx>
            <c:strRef>
              <c:f>'Efficiency frozen modification'!$A$26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modification'!$B$26</c:f>
            </c:strRef>
          </c:xVal>
          <c:yVal>
            <c:numRef>
              <c:f>'Efficiency frozen modification'!$D$26</c:f>
              <c:numCache/>
            </c:numRef>
          </c:yVal>
          <c:bubbleSize>
            <c:numRef>
              <c:f>'Efficiency frozen modification'!$E$26</c:f>
            </c:numRef>
          </c:bubbleSize>
        </c:ser>
        <c:ser>
          <c:idx val="25"/>
          <c:order val="25"/>
          <c:tx>
            <c:strRef>
              <c:f>'Efficiency frozen modification'!$A$27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modification'!$B$27</c:f>
            </c:strRef>
          </c:xVal>
          <c:yVal>
            <c:numRef>
              <c:f>'Efficiency frozen modification'!$D$27</c:f>
              <c:numCache/>
            </c:numRef>
          </c:yVal>
          <c:bubbleSize>
            <c:numRef>
              <c:f>'Efficiency frozen modification'!$E$27</c:f>
            </c:numRef>
          </c:bubbleSize>
        </c:ser>
        <c:ser>
          <c:idx val="26"/>
          <c:order val="26"/>
          <c:tx>
            <c:strRef>
              <c:f>'Efficiency frozen modification'!$A$28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modification'!$B$28</c:f>
            </c:strRef>
          </c:xVal>
          <c:yVal>
            <c:numRef>
              <c:f>'Efficiency frozen modification'!$D$28</c:f>
              <c:numCache/>
            </c:numRef>
          </c:yVal>
          <c:bubbleSize>
            <c:numRef>
              <c:f>'Efficiency frozen modification'!$E$28</c:f>
            </c:numRef>
          </c:bubbleSize>
        </c:ser>
        <c:ser>
          <c:idx val="27"/>
          <c:order val="27"/>
          <c:tx>
            <c:strRef>
              <c:f>'Efficiency frozen modification'!$A$29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modification'!$B$29</c:f>
            </c:strRef>
          </c:xVal>
          <c:yVal>
            <c:numRef>
              <c:f>'Efficiency frozen modification'!$D$29</c:f>
              <c:numCache/>
            </c:numRef>
          </c:yVal>
          <c:bubbleSize>
            <c:numRef>
              <c:f>'Efficiency frozen modification'!$E$29</c:f>
            </c:numRef>
          </c:bubbleSize>
        </c:ser>
        <c:ser>
          <c:idx val="28"/>
          <c:order val="28"/>
          <c:tx>
            <c:strRef>
              <c:f>'Efficiency frozen modification'!$A$30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modification'!$B$30</c:f>
            </c:strRef>
          </c:xVal>
          <c:yVal>
            <c:numRef>
              <c:f>'Efficiency frozen modification'!$D$30</c:f>
              <c:numCache/>
            </c:numRef>
          </c:yVal>
          <c:bubbleSize>
            <c:numRef>
              <c:f>'Efficiency frozen modification'!$E$30</c:f>
            </c:numRef>
          </c:bubbleSize>
        </c:ser>
        <c:ser>
          <c:idx val="29"/>
          <c:order val="29"/>
          <c:tx>
            <c:strRef>
              <c:f>'Efficiency frozen modification'!$A$31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modification'!$B$31</c:f>
            </c:strRef>
          </c:xVal>
          <c:yVal>
            <c:numRef>
              <c:f>'Efficiency frozen modification'!$D$31</c:f>
              <c:numCache/>
            </c:numRef>
          </c:yVal>
          <c:bubbleSize>
            <c:numRef>
              <c:f>'Efficiency frozen modification'!$E$31</c:f>
            </c:numRef>
          </c:bubbleSize>
        </c:ser>
        <c:ser>
          <c:idx val="30"/>
          <c:order val="30"/>
          <c:tx>
            <c:strRef>
              <c:f>'Efficiency frozen modification'!$A$32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modification'!$B$32</c:f>
            </c:strRef>
          </c:xVal>
          <c:yVal>
            <c:numRef>
              <c:f>'Efficiency frozen modification'!$D$32</c:f>
              <c:numCache/>
            </c:numRef>
          </c:yVal>
          <c:bubbleSize>
            <c:numRef>
              <c:f>'Efficiency frozen modification'!$E$32</c:f>
            </c:numRef>
          </c:bubbleSize>
        </c:ser>
        <c:ser>
          <c:idx val="31"/>
          <c:order val="31"/>
          <c:tx>
            <c:strRef>
              <c:f>'Efficiency frozen modification'!$A$33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modification'!$B$33</c:f>
            </c:strRef>
          </c:xVal>
          <c:yVal>
            <c:numRef>
              <c:f>'Efficiency frozen modification'!$D$33</c:f>
              <c:numCache/>
            </c:numRef>
          </c:yVal>
          <c:bubbleSize>
            <c:numRef>
              <c:f>'Efficiency frozen modification'!$E$33</c:f>
            </c:numRef>
          </c:bubbleSize>
        </c:ser>
        <c:ser>
          <c:idx val="32"/>
          <c:order val="32"/>
          <c:tx>
            <c:strRef>
              <c:f>'Efficiency frozen modification'!$A$34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modification'!$B$34</c:f>
            </c:strRef>
          </c:xVal>
          <c:yVal>
            <c:numRef>
              <c:f>'Efficiency frozen modification'!$D$34</c:f>
              <c:numCache/>
            </c:numRef>
          </c:yVal>
          <c:bubbleSize>
            <c:numRef>
              <c:f>'Efficiency frozen modification'!$E$34</c:f>
            </c:numRef>
          </c:bubbleSize>
        </c:ser>
        <c:ser>
          <c:idx val="33"/>
          <c:order val="33"/>
          <c:tx>
            <c:strRef>
              <c:f>'Efficiency frozen modification'!$A$35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modification'!$B$35</c:f>
            </c:strRef>
          </c:xVal>
          <c:yVal>
            <c:numRef>
              <c:f>'Efficiency frozen modification'!$D$35</c:f>
              <c:numCache/>
            </c:numRef>
          </c:yVal>
          <c:bubbleSize>
            <c:numRef>
              <c:f>'Efficiency frozen modification'!$E$35</c:f>
            </c:numRef>
          </c:bubbleSize>
        </c:ser>
        <c:ser>
          <c:idx val="34"/>
          <c:order val="34"/>
          <c:tx>
            <c:strRef>
              <c:f>'Efficiency frozen modification'!$A$36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modification'!$B$36</c:f>
            </c:strRef>
          </c:xVal>
          <c:yVal>
            <c:numRef>
              <c:f>'Efficiency frozen modification'!$D$36</c:f>
              <c:numCache/>
            </c:numRef>
          </c:yVal>
          <c:bubbleSize>
            <c:numRef>
              <c:f>'Efficiency frozen modification'!$E$36</c:f>
            </c:numRef>
          </c:bubbleSize>
        </c:ser>
        <c:ser>
          <c:idx val="35"/>
          <c:order val="35"/>
          <c:tx>
            <c:strRef>
              <c:f>'Efficiency frozen modification'!$A$37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modification'!$B$37</c:f>
            </c:strRef>
          </c:xVal>
          <c:yVal>
            <c:numRef>
              <c:f>'Efficiency frozen modification'!$D$37</c:f>
              <c:numCache/>
            </c:numRef>
          </c:yVal>
          <c:bubbleSize>
            <c:numRef>
              <c:f>'Efficiency frozen modification'!$E$37</c:f>
            </c:numRef>
          </c:bubbleSize>
        </c:ser>
        <c:ser>
          <c:idx val="36"/>
          <c:order val="36"/>
          <c:tx>
            <c:strRef>
              <c:f>'Efficiency frozen modification'!$A$38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modification'!$B$38</c:f>
            </c:strRef>
          </c:xVal>
          <c:yVal>
            <c:numRef>
              <c:f>'Efficiency frozen modification'!$D$38</c:f>
              <c:numCache/>
            </c:numRef>
          </c:yVal>
          <c:bubbleSize>
            <c:numRef>
              <c:f>'Efficiency frozen modification'!$E$38</c:f>
            </c:numRef>
          </c:bubbleSize>
        </c:ser>
        <c:ser>
          <c:idx val="37"/>
          <c:order val="37"/>
          <c:tx>
            <c:strRef>
              <c:f>'Efficiency frozen modification'!$A$39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modification'!$B$39</c:f>
            </c:strRef>
          </c:xVal>
          <c:yVal>
            <c:numRef>
              <c:f>'Efficiency frozen modification'!$D$39</c:f>
              <c:numCache/>
            </c:numRef>
          </c:yVal>
          <c:bubbleSize>
            <c:numRef>
              <c:f>'Efficiency frozen modification'!$E$39</c:f>
            </c:numRef>
          </c:bubbleSize>
        </c:ser>
        <c:ser>
          <c:idx val="38"/>
          <c:order val="38"/>
          <c:tx>
            <c:strRef>
              <c:f>'Efficiency frozen modification'!$A$40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modification'!$B$40</c:f>
            </c:strRef>
          </c:xVal>
          <c:yVal>
            <c:numRef>
              <c:f>'Efficiency frozen modification'!$D$40</c:f>
              <c:numCache/>
            </c:numRef>
          </c:yVal>
          <c:bubbleSize>
            <c:numRef>
              <c:f>'Efficiency frozen modification'!$E$40</c:f>
            </c:numRef>
          </c:bubbleSize>
        </c:ser>
        <c:ser>
          <c:idx val="39"/>
          <c:order val="39"/>
          <c:tx>
            <c:strRef>
              <c:f>'Efficiency frozen modification'!$A$41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modification'!$B$41</c:f>
            </c:strRef>
          </c:xVal>
          <c:yVal>
            <c:numRef>
              <c:f>'Efficiency frozen modification'!$D$41</c:f>
              <c:numCache/>
            </c:numRef>
          </c:yVal>
          <c:bubbleSize>
            <c:numRef>
              <c:f>'Efficiency frozen modification'!$E$41</c:f>
            </c:numRef>
          </c:bubbleSize>
        </c:ser>
        <c:ser>
          <c:idx val="40"/>
          <c:order val="40"/>
          <c:tx>
            <c:strRef>
              <c:f>'Efficiency frozen modification'!$A$42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modification'!$B$42</c:f>
            </c:strRef>
          </c:xVal>
          <c:yVal>
            <c:numRef>
              <c:f>'Efficiency frozen modification'!$D$42</c:f>
              <c:numCache/>
            </c:numRef>
          </c:yVal>
          <c:bubbleSize>
            <c:numRef>
              <c:f>'Efficiency frozen modification'!$E$42</c:f>
            </c:numRef>
          </c:bubbleSize>
        </c:ser>
        <c:ser>
          <c:idx val="41"/>
          <c:order val="41"/>
          <c:tx>
            <c:strRef>
              <c:f>'Efficiency frozen modification'!$A$43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modification'!$B$43</c:f>
            </c:strRef>
          </c:xVal>
          <c:yVal>
            <c:numRef>
              <c:f>'Efficiency frozen modification'!$D$43</c:f>
              <c:numCache/>
            </c:numRef>
          </c:yVal>
          <c:bubbleSize>
            <c:numRef>
              <c:f>'Efficiency frozen modification'!$E$43</c:f>
            </c:numRef>
          </c:bubbleSize>
        </c:ser>
        <c:ser>
          <c:idx val="42"/>
          <c:order val="42"/>
          <c:tx>
            <c:strRef>
              <c:f>'Efficiency frozen modification'!$A$44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modification'!$B$44</c:f>
            </c:strRef>
          </c:xVal>
          <c:yVal>
            <c:numRef>
              <c:f>'Efficiency frozen modification'!$D$44</c:f>
              <c:numCache/>
            </c:numRef>
          </c:yVal>
          <c:bubbleSize>
            <c:numRef>
              <c:f>'Efficiency frozen modification'!$E$44</c:f>
            </c:numRef>
          </c:bubbleSize>
        </c:ser>
        <c:ser>
          <c:idx val="43"/>
          <c:order val="43"/>
          <c:tx>
            <c:strRef>
              <c:f>'Efficiency frozen modification'!$A$45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modification'!$B$45</c:f>
            </c:strRef>
          </c:xVal>
          <c:yVal>
            <c:numRef>
              <c:f>'Efficiency frozen modification'!$D$45</c:f>
              <c:numCache/>
            </c:numRef>
          </c:yVal>
          <c:bubbleSize>
            <c:numRef>
              <c:f>'Efficiency frozen modification'!$E$45</c:f>
            </c:numRef>
          </c:bubbleSize>
        </c:ser>
        <c:ser>
          <c:idx val="44"/>
          <c:order val="44"/>
          <c:tx>
            <c:strRef>
              <c:f>'Efficiency frozen modification'!$A$46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modification'!$B$46</c:f>
            </c:strRef>
          </c:xVal>
          <c:yVal>
            <c:numRef>
              <c:f>'Efficiency frozen modification'!$D$46</c:f>
              <c:numCache/>
            </c:numRef>
          </c:yVal>
          <c:bubbleSize>
            <c:numRef>
              <c:f>'Efficiency frozen modification'!$E$46</c:f>
            </c:numRef>
          </c:bubbleSize>
        </c:ser>
        <c:ser>
          <c:idx val="45"/>
          <c:order val="45"/>
          <c:tx>
            <c:strRef>
              <c:f>'Efficiency frozen modification'!$A$47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modification'!$B$47</c:f>
            </c:strRef>
          </c:xVal>
          <c:yVal>
            <c:numRef>
              <c:f>'Efficiency frozen modification'!$D$47</c:f>
              <c:numCache/>
            </c:numRef>
          </c:yVal>
          <c:bubbleSize>
            <c:numRef>
              <c:f>'Efficiency frozen modification'!$E$47</c:f>
            </c:numRef>
          </c:bubbleSize>
        </c:ser>
        <c:ser>
          <c:idx val="46"/>
          <c:order val="46"/>
          <c:tx>
            <c:strRef>
              <c:f>'Efficiency frozen modification'!$A$48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modification'!$B$48</c:f>
            </c:strRef>
          </c:xVal>
          <c:yVal>
            <c:numRef>
              <c:f>'Efficiency frozen modification'!$D$48</c:f>
              <c:numCache/>
            </c:numRef>
          </c:yVal>
          <c:bubbleSize>
            <c:numRef>
              <c:f>'Efficiency frozen modification'!$E$48</c:f>
            </c:numRef>
          </c:bubbleSize>
        </c:ser>
        <c:ser>
          <c:idx val="47"/>
          <c:order val="47"/>
          <c:tx>
            <c:strRef>
              <c:f>'Efficiency frozen modification'!$A$49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modification'!$B$49</c:f>
            </c:strRef>
          </c:xVal>
          <c:yVal>
            <c:numRef>
              <c:f>'Efficiency frozen modification'!$D$49</c:f>
              <c:numCache/>
            </c:numRef>
          </c:yVal>
          <c:bubbleSize>
            <c:numRef>
              <c:f>'Efficiency frozen modification'!$E$49</c:f>
            </c:numRef>
          </c:bubbleSize>
        </c:ser>
        <c:ser>
          <c:idx val="48"/>
          <c:order val="48"/>
          <c:tx>
            <c:strRef>
              <c:f>'Efficiency frozen modification'!$A$50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modification'!$B$50</c:f>
            </c:strRef>
          </c:xVal>
          <c:yVal>
            <c:numRef>
              <c:f>'Efficiency frozen modification'!$D$50</c:f>
              <c:numCache/>
            </c:numRef>
          </c:yVal>
          <c:bubbleSize>
            <c:numRef>
              <c:f>'Efficiency frozen modification'!$E$50</c:f>
            </c:numRef>
          </c:bubbleSize>
        </c:ser>
        <c:ser>
          <c:idx val="49"/>
          <c:order val="49"/>
          <c:tx>
            <c:strRef>
              <c:f>'Efficiency frozen modification'!$A$51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modification'!$B$51</c:f>
            </c:strRef>
          </c:xVal>
          <c:yVal>
            <c:numRef>
              <c:f>'Efficiency frozen modification'!$D$51</c:f>
              <c:numCache/>
            </c:numRef>
          </c:yVal>
          <c:bubbleSize>
            <c:numRef>
              <c:f>'Efficiency frozen modification'!$E$51</c:f>
            </c:numRef>
          </c:bubbleSize>
        </c:ser>
        <c:ser>
          <c:idx val="50"/>
          <c:order val="50"/>
          <c:tx>
            <c:strRef>
              <c:f>'Efficiency frozen modification'!$A$52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modification'!$B$52</c:f>
            </c:strRef>
          </c:xVal>
          <c:yVal>
            <c:numRef>
              <c:f>'Efficiency frozen modification'!$D$52</c:f>
              <c:numCache/>
            </c:numRef>
          </c:yVal>
          <c:bubbleSize>
            <c:numRef>
              <c:f>'Efficiency frozen modification'!$E$52</c:f>
            </c:numRef>
          </c:bubbleSize>
        </c:ser>
        <c:ser>
          <c:idx val="51"/>
          <c:order val="51"/>
          <c:tx>
            <c:strRef>
              <c:f>'Efficiency frozen modification'!$A$53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modification'!$B$53</c:f>
            </c:strRef>
          </c:xVal>
          <c:yVal>
            <c:numRef>
              <c:f>'Efficiency frozen modification'!$D$53</c:f>
              <c:numCache/>
            </c:numRef>
          </c:yVal>
          <c:bubbleSize>
            <c:numRef>
              <c:f>'Efficiency frozen modification'!$E$53</c:f>
            </c:numRef>
          </c:bubbleSize>
        </c:ser>
        <c:ser>
          <c:idx val="52"/>
          <c:order val="52"/>
          <c:tx>
            <c:strRef>
              <c:f>'Efficiency frozen modification'!$A$54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modification'!$B$54</c:f>
            </c:strRef>
          </c:xVal>
          <c:yVal>
            <c:numRef>
              <c:f>'Efficiency frozen modification'!$D$54</c:f>
              <c:numCache/>
            </c:numRef>
          </c:yVal>
          <c:bubbleSize>
            <c:numRef>
              <c:f>'Efficiency frozen modification'!$E$54</c:f>
            </c:numRef>
          </c:bubbleSize>
        </c:ser>
        <c:ser>
          <c:idx val="53"/>
          <c:order val="53"/>
          <c:tx>
            <c:strRef>
              <c:f>'Efficiency frozen modification'!$A$55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modification'!$B$55</c:f>
            </c:strRef>
          </c:xVal>
          <c:yVal>
            <c:numRef>
              <c:f>'Efficiency frozen modification'!$D$55</c:f>
              <c:numCache/>
            </c:numRef>
          </c:yVal>
          <c:bubbleSize>
            <c:numRef>
              <c:f>'Efficiency frozen modification'!$E$55</c:f>
            </c:numRef>
          </c:bubbleSize>
        </c:ser>
        <c:ser>
          <c:idx val="54"/>
          <c:order val="54"/>
          <c:tx>
            <c:strRef>
              <c:f>'Efficiency frozen modification'!$A$56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modification'!$B$56</c:f>
            </c:strRef>
          </c:xVal>
          <c:yVal>
            <c:numRef>
              <c:f>'Efficiency frozen modification'!$D$56</c:f>
              <c:numCache/>
            </c:numRef>
          </c:yVal>
          <c:bubbleSize>
            <c:numRef>
              <c:f>'Efficiency frozen modification'!$E$56</c:f>
            </c:numRef>
          </c:bubbleSize>
        </c:ser>
        <c:ser>
          <c:idx val="55"/>
          <c:order val="55"/>
          <c:tx>
            <c:strRef>
              <c:f>'Efficiency frozen modification'!$A$57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modification'!$B$57</c:f>
            </c:strRef>
          </c:xVal>
          <c:yVal>
            <c:numRef>
              <c:f>'Efficiency frozen modification'!$D$57</c:f>
              <c:numCache/>
            </c:numRef>
          </c:yVal>
          <c:bubbleSize>
            <c:numRef>
              <c:f>'Efficiency frozen modification'!$E$57</c:f>
            </c:numRef>
          </c:bubbleSize>
        </c:ser>
        <c:ser>
          <c:idx val="56"/>
          <c:order val="56"/>
          <c:tx>
            <c:strRef>
              <c:f>'Efficiency frozen modification'!$A$58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modification'!$B$58</c:f>
            </c:strRef>
          </c:xVal>
          <c:yVal>
            <c:numRef>
              <c:f>'Efficiency frozen modification'!$D$58</c:f>
              <c:numCache/>
            </c:numRef>
          </c:yVal>
          <c:bubbleSize>
            <c:numRef>
              <c:f>'Efficiency frozen modification'!$E$58</c:f>
            </c:numRef>
          </c:bubbleSize>
        </c:ser>
        <c:ser>
          <c:idx val="57"/>
          <c:order val="57"/>
          <c:tx>
            <c:strRef>
              <c:f>'Efficiency frozen modification'!$A$59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modification'!$B$59</c:f>
            </c:strRef>
          </c:xVal>
          <c:yVal>
            <c:numRef>
              <c:f>'Efficiency frozen modification'!$D$59</c:f>
              <c:numCache/>
            </c:numRef>
          </c:yVal>
          <c:bubbleSize>
            <c:numRef>
              <c:f>'Efficiency frozen modification'!$E$59</c:f>
            </c:numRef>
          </c:bubbleSize>
        </c:ser>
        <c:ser>
          <c:idx val="58"/>
          <c:order val="58"/>
          <c:tx>
            <c:strRef>
              <c:f>'Efficiency frozen modification'!$A$60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modification'!$B$60</c:f>
            </c:strRef>
          </c:xVal>
          <c:yVal>
            <c:numRef>
              <c:f>'Efficiency frozen modification'!$D$60</c:f>
              <c:numCache/>
            </c:numRef>
          </c:yVal>
          <c:bubbleSize>
            <c:numRef>
              <c:f>'Efficiency frozen modification'!$E$60</c:f>
            </c:numRef>
          </c:bubbleSize>
        </c:ser>
        <c:ser>
          <c:idx val="59"/>
          <c:order val="59"/>
          <c:tx>
            <c:strRef>
              <c:f>'Efficiency frozen modification'!$A$61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modification'!$B$61</c:f>
            </c:strRef>
          </c:xVal>
          <c:yVal>
            <c:numRef>
              <c:f>'Efficiency frozen modification'!$D$61</c:f>
              <c:numCache/>
            </c:numRef>
          </c:yVal>
          <c:bubbleSize>
            <c:numRef>
              <c:f>'Efficiency frozen modification'!$E$61</c:f>
            </c:numRef>
          </c:bubbleSize>
        </c:ser>
        <c:ser>
          <c:idx val="60"/>
          <c:order val="60"/>
          <c:tx>
            <c:strRef>
              <c:f>'Efficiency frozen modification'!$A$62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modification'!$B$62</c:f>
            </c:strRef>
          </c:xVal>
          <c:yVal>
            <c:numRef>
              <c:f>'Efficiency frozen modification'!$D$62</c:f>
              <c:numCache/>
            </c:numRef>
          </c:yVal>
          <c:bubbleSize>
            <c:numRef>
              <c:f>'Efficiency frozen modification'!$E$62</c:f>
            </c:numRef>
          </c:bubbleSize>
        </c:ser>
        <c:ser>
          <c:idx val="61"/>
          <c:order val="61"/>
          <c:tx>
            <c:strRef>
              <c:f>'Efficiency frozen modification'!$A$63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modification'!$B$63</c:f>
            </c:strRef>
          </c:xVal>
          <c:yVal>
            <c:numRef>
              <c:f>'Efficiency frozen modification'!$D$63</c:f>
              <c:numCache/>
            </c:numRef>
          </c:yVal>
          <c:bubbleSize>
            <c:numRef>
              <c:f>'Efficiency frozen modification'!$E$63</c:f>
            </c:numRef>
          </c:bubbleSize>
        </c:ser>
        <c:ser>
          <c:idx val="62"/>
          <c:order val="62"/>
          <c:tx>
            <c:strRef>
              <c:f>'Efficiency frozen modification'!$A$64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modification'!$B$64</c:f>
            </c:strRef>
          </c:xVal>
          <c:yVal>
            <c:numRef>
              <c:f>'Efficiency frozen modification'!$D$64</c:f>
              <c:numCache/>
            </c:numRef>
          </c:yVal>
          <c:bubbleSize>
            <c:numRef>
              <c:f>'Efficiency frozen modification'!$E$64</c:f>
            </c:numRef>
          </c:bubbleSize>
        </c:ser>
        <c:ser>
          <c:idx val="63"/>
          <c:order val="63"/>
          <c:tx>
            <c:strRef>
              <c:f>'Efficiency frozen modification'!$A$65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modification'!$B$65</c:f>
            </c:strRef>
          </c:xVal>
          <c:yVal>
            <c:numRef>
              <c:f>'Efficiency frozen modification'!$D$65</c:f>
              <c:numCache/>
            </c:numRef>
          </c:yVal>
          <c:bubbleSize>
            <c:numRef>
              <c:f>'Efficiency frozen modification'!$E$65</c:f>
            </c:numRef>
          </c:bubbleSize>
        </c:ser>
        <c:ser>
          <c:idx val="64"/>
          <c:order val="64"/>
          <c:tx>
            <c:strRef>
              <c:f>'Efficiency frozen modification'!$A$66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modification'!$B$66</c:f>
            </c:strRef>
          </c:xVal>
          <c:yVal>
            <c:numRef>
              <c:f>'Efficiency frozen modification'!$D$66</c:f>
              <c:numCache/>
            </c:numRef>
          </c:yVal>
          <c:bubbleSize>
            <c:numRef>
              <c:f>'Efficiency frozen modification'!$E$66</c:f>
            </c:numRef>
          </c:bubbleSize>
        </c:ser>
        <c:ser>
          <c:idx val="65"/>
          <c:order val="65"/>
          <c:tx>
            <c:strRef>
              <c:f>'Efficiency frozen modification'!$A$67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modification'!$B$67</c:f>
            </c:strRef>
          </c:xVal>
          <c:yVal>
            <c:numRef>
              <c:f>'Efficiency frozen modification'!$D$67</c:f>
              <c:numCache/>
            </c:numRef>
          </c:yVal>
          <c:bubbleSize>
            <c:numRef>
              <c:f>'Efficiency frozen modification'!$E$67</c:f>
            </c:numRef>
          </c:bubbleSize>
        </c:ser>
        <c:ser>
          <c:idx val="66"/>
          <c:order val="66"/>
          <c:tx>
            <c:strRef>
              <c:f>'Efficiency frozen modification'!$A$68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modification'!$B$68</c:f>
            </c:strRef>
          </c:xVal>
          <c:yVal>
            <c:numRef>
              <c:f>'Efficiency frozen modification'!$D$68</c:f>
              <c:numCache/>
            </c:numRef>
          </c:yVal>
          <c:bubbleSize>
            <c:numRef>
              <c:f>'Efficiency frozen modification'!$E$68</c:f>
            </c:numRef>
          </c:bubbleSize>
        </c:ser>
        <c:ser>
          <c:idx val="67"/>
          <c:order val="67"/>
          <c:tx>
            <c:strRef>
              <c:f>'Efficiency frozen modification'!$A$69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modification'!$B$69</c:f>
            </c:strRef>
          </c:xVal>
          <c:yVal>
            <c:numRef>
              <c:f>'Efficiency frozen modification'!$D$69</c:f>
              <c:numCache/>
            </c:numRef>
          </c:yVal>
          <c:bubbleSize>
            <c:numRef>
              <c:f>'Efficiency frozen modification'!$E$69</c:f>
            </c:numRef>
          </c:bubbleSize>
        </c:ser>
        <c:ser>
          <c:idx val="68"/>
          <c:order val="68"/>
          <c:tx>
            <c:strRef>
              <c:f>'Efficiency frozen modification'!$A$70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modification'!$B$70</c:f>
            </c:strRef>
          </c:xVal>
          <c:yVal>
            <c:numRef>
              <c:f>'Efficiency frozen modification'!$D$70</c:f>
              <c:numCache/>
            </c:numRef>
          </c:yVal>
          <c:bubbleSize>
            <c:numRef>
              <c:f>'Efficiency frozen modification'!$E$70</c:f>
            </c:numRef>
          </c:bubbleSize>
        </c:ser>
        <c:ser>
          <c:idx val="69"/>
          <c:order val="69"/>
          <c:tx>
            <c:strRef>
              <c:f>'Efficiency frozen modification'!$A$71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modification'!$B$71</c:f>
            </c:strRef>
          </c:xVal>
          <c:yVal>
            <c:numRef>
              <c:f>'Efficiency frozen modification'!$D$71</c:f>
              <c:numCache/>
            </c:numRef>
          </c:yVal>
          <c:bubbleSize>
            <c:numRef>
              <c:f>'Efficiency frozen modification'!$E$71</c:f>
            </c:numRef>
          </c:bubbleSize>
        </c:ser>
        <c:ser>
          <c:idx val="70"/>
          <c:order val="70"/>
          <c:tx>
            <c:strRef>
              <c:f>'Efficiency frozen modification'!$A$72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modification'!$B$72</c:f>
            </c:strRef>
          </c:xVal>
          <c:yVal>
            <c:numRef>
              <c:f>'Efficiency frozen modification'!$D$72</c:f>
              <c:numCache/>
            </c:numRef>
          </c:yVal>
          <c:bubbleSize>
            <c:numRef>
              <c:f>'Efficiency frozen modification'!$E$72</c:f>
            </c:numRef>
          </c:bubbleSize>
        </c:ser>
        <c:ser>
          <c:idx val="71"/>
          <c:order val="71"/>
          <c:tx>
            <c:strRef>
              <c:f>'Efficiency frozen modification'!$A$73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modification'!$B$73</c:f>
            </c:strRef>
          </c:xVal>
          <c:yVal>
            <c:numRef>
              <c:f>'Efficiency frozen modification'!$D$73</c:f>
              <c:numCache/>
            </c:numRef>
          </c:yVal>
          <c:bubbleSize>
            <c:numRef>
              <c:f>'Efficiency frozen modification'!$E$73</c:f>
            </c:numRef>
          </c:bubbleSize>
        </c:ser>
        <c:ser>
          <c:idx val="72"/>
          <c:order val="72"/>
          <c:tx>
            <c:strRef>
              <c:f>'Efficiency frozen modification'!$A$74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modification'!$B$74</c:f>
            </c:strRef>
          </c:xVal>
          <c:yVal>
            <c:numRef>
              <c:f>'Efficiency frozen modification'!$D$74</c:f>
              <c:numCache/>
            </c:numRef>
          </c:yVal>
          <c:bubbleSize>
            <c:numRef>
              <c:f>'Efficiency frozen modification'!$E$74</c:f>
            </c:numRef>
          </c:bubbleSize>
        </c:ser>
        <c:ser>
          <c:idx val="73"/>
          <c:order val="73"/>
          <c:tx>
            <c:strRef>
              <c:f>'Efficiency frozen modification'!$A$75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modification'!$B$75</c:f>
            </c:strRef>
          </c:xVal>
          <c:yVal>
            <c:numRef>
              <c:f>'Efficiency frozen modification'!$D$75</c:f>
              <c:numCache/>
            </c:numRef>
          </c:yVal>
          <c:bubbleSize>
            <c:numRef>
              <c:f>'Efficiency frozen modification'!$E$75</c:f>
            </c:numRef>
          </c:bubbleSize>
        </c:ser>
        <c:ser>
          <c:idx val="74"/>
          <c:order val="74"/>
          <c:tx>
            <c:strRef>
              <c:f>'Efficiency frozen modification'!$A$76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modification'!$B$76</c:f>
            </c:strRef>
          </c:xVal>
          <c:yVal>
            <c:numRef>
              <c:f>'Efficiency frozen modification'!$D$76</c:f>
              <c:numCache/>
            </c:numRef>
          </c:yVal>
          <c:bubbleSize>
            <c:numRef>
              <c:f>'Efficiency frozen modification'!$E$76</c:f>
            </c:numRef>
          </c:bubbleSize>
        </c:ser>
        <c:ser>
          <c:idx val="75"/>
          <c:order val="75"/>
          <c:tx>
            <c:strRef>
              <c:f>'Efficiency frozen modification'!$A$77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modification'!$B$77</c:f>
            </c:strRef>
          </c:xVal>
          <c:yVal>
            <c:numRef>
              <c:f>'Efficiency frozen modification'!$D$77</c:f>
              <c:numCache/>
            </c:numRef>
          </c:yVal>
          <c:bubbleSize>
            <c:numRef>
              <c:f>'Efficiency frozen modification'!$E$77</c:f>
            </c:numRef>
          </c:bubbleSize>
        </c:ser>
        <c:ser>
          <c:idx val="76"/>
          <c:order val="76"/>
          <c:tx>
            <c:strRef>
              <c:f>'Efficiency frozen modification'!$A$78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modification'!$B$78</c:f>
            </c:strRef>
          </c:xVal>
          <c:yVal>
            <c:numRef>
              <c:f>'Efficiency frozen modification'!$D$78</c:f>
              <c:numCache/>
            </c:numRef>
          </c:yVal>
          <c:bubbleSize>
            <c:numRef>
              <c:f>'Efficiency frozen modification'!$E$78</c:f>
            </c:numRef>
          </c:bubbleSize>
        </c:ser>
        <c:ser>
          <c:idx val="77"/>
          <c:order val="77"/>
          <c:tx>
            <c:strRef>
              <c:f>'Efficiency frozen modification'!$A$79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modification'!$B$79</c:f>
            </c:strRef>
          </c:xVal>
          <c:yVal>
            <c:numRef>
              <c:f>'Efficiency frozen modification'!$D$79</c:f>
              <c:numCache/>
            </c:numRef>
          </c:yVal>
          <c:bubbleSize>
            <c:numRef>
              <c:f>'Efficiency frozen modification'!$E$79</c:f>
            </c:numRef>
          </c:bubbleSize>
        </c:ser>
        <c:ser>
          <c:idx val="78"/>
          <c:order val="78"/>
          <c:tx>
            <c:strRef>
              <c:f>'Efficiency frozen modification'!$A$80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modification'!$B$80</c:f>
            </c:strRef>
          </c:xVal>
          <c:yVal>
            <c:numRef>
              <c:f>'Efficiency frozen modification'!$D$80</c:f>
              <c:numCache/>
            </c:numRef>
          </c:yVal>
          <c:bubbleSize>
            <c:numRef>
              <c:f>'Efficiency frozen modification'!$E$80</c:f>
            </c:numRef>
          </c:bubbleSize>
        </c:ser>
        <c:ser>
          <c:idx val="79"/>
          <c:order val="79"/>
          <c:tx>
            <c:strRef>
              <c:f>'Efficiency frozen modification'!$A$81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modification'!$B$81</c:f>
            </c:strRef>
          </c:xVal>
          <c:yVal>
            <c:numRef>
              <c:f>'Efficiency frozen modification'!$D$81</c:f>
              <c:numCache/>
            </c:numRef>
          </c:yVal>
          <c:bubbleSize>
            <c:numRef>
              <c:f>'Efficiency frozen modification'!$E$81</c:f>
            </c:numRef>
          </c:bubbleSize>
        </c:ser>
        <c:ser>
          <c:idx val="80"/>
          <c:order val="80"/>
          <c:tx>
            <c:strRef>
              <c:f>'Efficiency frozen modification'!$A$82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modification'!$B$82</c:f>
            </c:strRef>
          </c:xVal>
          <c:yVal>
            <c:numRef>
              <c:f>'Efficiency frozen modification'!$D$82</c:f>
              <c:numCache/>
            </c:numRef>
          </c:yVal>
          <c:bubbleSize>
            <c:numRef>
              <c:f>'Efficiency frozen modification'!$E$82</c:f>
            </c:numRef>
          </c:bubbleSize>
        </c:ser>
        <c:ser>
          <c:idx val="81"/>
          <c:order val="81"/>
          <c:tx>
            <c:strRef>
              <c:f>'Efficiency frozen modification'!$A$83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modification'!$B$83</c:f>
            </c:strRef>
          </c:xVal>
          <c:yVal>
            <c:numRef>
              <c:f>'Efficiency frozen modification'!$D$83</c:f>
              <c:numCache/>
            </c:numRef>
          </c:yVal>
          <c:bubbleSize>
            <c:numRef>
              <c:f>'Efficiency frozen modification'!$E$83</c:f>
            </c:numRef>
          </c:bubbleSize>
        </c:ser>
        <c:ser>
          <c:idx val="82"/>
          <c:order val="82"/>
          <c:tx>
            <c:strRef>
              <c:f>'Efficiency frozen modification'!$A$84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modification'!$B$84</c:f>
            </c:strRef>
          </c:xVal>
          <c:yVal>
            <c:numRef>
              <c:f>'Efficiency frozen modification'!$D$84</c:f>
              <c:numCache/>
            </c:numRef>
          </c:yVal>
          <c:bubbleSize>
            <c:numRef>
              <c:f>'Efficiency frozen modification'!$E$84</c:f>
            </c:numRef>
          </c:bubbleSize>
        </c:ser>
        <c:ser>
          <c:idx val="83"/>
          <c:order val="83"/>
          <c:tx>
            <c:strRef>
              <c:f>'Efficiency frozen modification'!$A$85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modification'!$B$85</c:f>
            </c:strRef>
          </c:xVal>
          <c:yVal>
            <c:numRef>
              <c:f>'Efficiency frozen modification'!$D$85</c:f>
              <c:numCache/>
            </c:numRef>
          </c:yVal>
          <c:bubbleSize>
            <c:numRef>
              <c:f>'Efficiency frozen modification'!$E$85</c:f>
            </c:numRef>
          </c:bubbleSize>
        </c:ser>
        <c:ser>
          <c:idx val="84"/>
          <c:order val="84"/>
          <c:tx>
            <c:strRef>
              <c:f>'Efficiency frozen modification'!$A$86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modification'!$B$86</c:f>
            </c:strRef>
          </c:xVal>
          <c:yVal>
            <c:numRef>
              <c:f>'Efficiency frozen modification'!$D$86</c:f>
              <c:numCache/>
            </c:numRef>
          </c:yVal>
          <c:bubbleSize>
            <c:numRef>
              <c:f>'Efficiency frozen modification'!$E$86</c:f>
            </c:numRef>
          </c:bubbleSize>
        </c:ser>
        <c:ser>
          <c:idx val="85"/>
          <c:order val="85"/>
          <c:tx>
            <c:strRef>
              <c:f>'Efficiency frozen modification'!$A$87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modification'!$B$87</c:f>
            </c:strRef>
          </c:xVal>
          <c:yVal>
            <c:numRef>
              <c:f>'Efficiency frozen modification'!$D$87</c:f>
              <c:numCache/>
            </c:numRef>
          </c:yVal>
          <c:bubbleSize>
            <c:numRef>
              <c:f>'Efficiency frozen modification'!$E$87</c:f>
            </c:numRef>
          </c:bubbleSize>
        </c:ser>
        <c:ser>
          <c:idx val="86"/>
          <c:order val="86"/>
          <c:tx>
            <c:strRef>
              <c:f>'Efficiency frozen modification'!$A$88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modification'!$B$88</c:f>
            </c:strRef>
          </c:xVal>
          <c:yVal>
            <c:numRef>
              <c:f>'Efficiency frozen modification'!$D$88</c:f>
              <c:numCache/>
            </c:numRef>
          </c:yVal>
          <c:bubbleSize>
            <c:numRef>
              <c:f>'Efficiency frozen modification'!$E$88</c:f>
            </c:numRef>
          </c:bubbleSize>
        </c:ser>
        <c:ser>
          <c:idx val="87"/>
          <c:order val="87"/>
          <c:tx>
            <c:strRef>
              <c:f>'Efficiency frozen modification'!$A$89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modification'!$B$89</c:f>
            </c:strRef>
          </c:xVal>
          <c:yVal>
            <c:numRef>
              <c:f>'Efficiency frozen modification'!$D$89</c:f>
              <c:numCache/>
            </c:numRef>
          </c:yVal>
          <c:bubbleSize>
            <c:numRef>
              <c:f>'Efficiency frozen modification'!$E$89</c:f>
            </c:numRef>
          </c:bubbleSize>
        </c:ser>
        <c:ser>
          <c:idx val="88"/>
          <c:order val="88"/>
          <c:tx>
            <c:strRef>
              <c:f>'Efficiency frozen modification'!$A$90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modification'!$B$90</c:f>
            </c:strRef>
          </c:xVal>
          <c:yVal>
            <c:numRef>
              <c:f>'Efficiency frozen modification'!$D$90</c:f>
              <c:numCache/>
            </c:numRef>
          </c:yVal>
          <c:bubbleSize>
            <c:numRef>
              <c:f>'Efficiency frozen modification'!$E$90</c:f>
            </c:numRef>
          </c:bubbleSize>
        </c:ser>
        <c:ser>
          <c:idx val="89"/>
          <c:order val="89"/>
          <c:tx>
            <c:strRef>
              <c:f>'Efficiency frozen modification'!$A$91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modification'!$B$91</c:f>
            </c:strRef>
          </c:xVal>
          <c:yVal>
            <c:numRef>
              <c:f>'Efficiency frozen modification'!$D$91</c:f>
              <c:numCache/>
            </c:numRef>
          </c:yVal>
          <c:bubbleSize>
            <c:numRef>
              <c:f>'Efficiency frozen modification'!$E$91</c:f>
            </c:numRef>
          </c:bubbleSize>
        </c:ser>
        <c:ser>
          <c:idx val="90"/>
          <c:order val="90"/>
          <c:tx>
            <c:strRef>
              <c:f>'Efficiency frozen modification'!$A$92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modification'!$B$92</c:f>
            </c:strRef>
          </c:xVal>
          <c:yVal>
            <c:numRef>
              <c:f>'Efficiency frozen modification'!$D$92</c:f>
              <c:numCache/>
            </c:numRef>
          </c:yVal>
          <c:bubbleSize>
            <c:numRef>
              <c:f>'Efficiency frozen modification'!$E$92</c:f>
            </c:numRef>
          </c:bubbleSize>
        </c:ser>
        <c:ser>
          <c:idx val="91"/>
          <c:order val="91"/>
          <c:tx>
            <c:strRef>
              <c:f>'Efficiency frozen modification'!$A$93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modification'!$B$93</c:f>
            </c:strRef>
          </c:xVal>
          <c:yVal>
            <c:numRef>
              <c:f>'Efficiency frozen modification'!$D$93</c:f>
              <c:numCache/>
            </c:numRef>
          </c:yVal>
          <c:bubbleSize>
            <c:numRef>
              <c:f>'Efficiency frozen modification'!$E$93</c:f>
            </c:numRef>
          </c:bubbleSize>
        </c:ser>
        <c:ser>
          <c:idx val="92"/>
          <c:order val="92"/>
          <c:tx>
            <c:strRef>
              <c:f>'Efficiency frozen modification'!$A$94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modification'!$B$94</c:f>
            </c:strRef>
          </c:xVal>
          <c:yVal>
            <c:numRef>
              <c:f>'Efficiency frozen modification'!$D$94</c:f>
              <c:numCache/>
            </c:numRef>
          </c:yVal>
          <c:bubbleSize>
            <c:numRef>
              <c:f>'Efficiency frozen modification'!$E$94</c:f>
            </c:numRef>
          </c:bubbleSize>
        </c:ser>
        <c:ser>
          <c:idx val="93"/>
          <c:order val="93"/>
          <c:tx>
            <c:strRef>
              <c:f>'Efficiency frozen modification'!$A$95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modification'!$B$95</c:f>
            </c:strRef>
          </c:xVal>
          <c:yVal>
            <c:numRef>
              <c:f>'Efficiency frozen modification'!$D$95</c:f>
              <c:numCache/>
            </c:numRef>
          </c:yVal>
          <c:bubbleSize>
            <c:numRef>
              <c:f>'Efficiency frozen modification'!$E$95</c:f>
            </c:numRef>
          </c:bubbleSize>
        </c:ser>
        <c:ser>
          <c:idx val="94"/>
          <c:order val="94"/>
          <c:tx>
            <c:strRef>
              <c:f>'Efficiency frozen modification'!$A$96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modification'!$B$96</c:f>
            </c:strRef>
          </c:xVal>
          <c:yVal>
            <c:numRef>
              <c:f>'Efficiency frozen modification'!$D$96</c:f>
              <c:numCache/>
            </c:numRef>
          </c:yVal>
          <c:bubbleSize>
            <c:numRef>
              <c:f>'Efficiency frozen modification'!$E$96</c:f>
            </c:numRef>
          </c:bubbleSize>
        </c:ser>
        <c:ser>
          <c:idx val="95"/>
          <c:order val="95"/>
          <c:tx>
            <c:strRef>
              <c:f>'Efficiency frozen modification'!$A$97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modification'!$B$97</c:f>
            </c:strRef>
          </c:xVal>
          <c:yVal>
            <c:numRef>
              <c:f>'Efficiency frozen modification'!$D$97</c:f>
              <c:numCache/>
            </c:numRef>
          </c:yVal>
          <c:bubbleSize>
            <c:numRef>
              <c:f>'Efficiency frozen modification'!$E$97</c:f>
            </c:numRef>
          </c:bubbleSize>
        </c:ser>
        <c:ser>
          <c:idx val="96"/>
          <c:order val="96"/>
          <c:tx>
            <c:strRef>
              <c:f>'Efficiency frozen modification'!$A$98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modification'!$B$98</c:f>
            </c:strRef>
          </c:xVal>
          <c:yVal>
            <c:numRef>
              <c:f>'Efficiency frozen modification'!$D$98</c:f>
              <c:numCache/>
            </c:numRef>
          </c:yVal>
          <c:bubbleSize>
            <c:numRef>
              <c:f>'Efficiency frozen modification'!$E$98</c:f>
            </c:numRef>
          </c:bubbleSize>
        </c:ser>
        <c:ser>
          <c:idx val="97"/>
          <c:order val="97"/>
          <c:tx>
            <c:strRef>
              <c:f>'Efficiency frozen modification'!$A$99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modification'!$B$99</c:f>
            </c:strRef>
          </c:xVal>
          <c:yVal>
            <c:numRef>
              <c:f>'Efficiency frozen modification'!$D$99</c:f>
              <c:numCache/>
            </c:numRef>
          </c:yVal>
          <c:bubbleSize>
            <c:numRef>
              <c:f>'Efficiency frozen modification'!$E$99</c:f>
            </c:numRef>
          </c:bubbleSize>
        </c:ser>
        <c:ser>
          <c:idx val="98"/>
          <c:order val="98"/>
          <c:tx>
            <c:strRef>
              <c:f>'Efficiency frozen modification'!$A$100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'Efficiency frozen modification'!$B$100</c:f>
            </c:strRef>
          </c:xVal>
          <c:yVal>
            <c:numRef>
              <c:f>'Efficiency frozen modification'!$D$100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3785019"/>
        <c:axId val="826142182"/>
      </c:bubbleChart>
      <c:valAx>
        <c:axId val="3785019"/>
        <c:scaling>
          <c:orientation val="minMax"/>
          <c:max val="4542.822164948454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142182"/>
      </c:valAx>
      <c:valAx>
        <c:axId val="826142182"/>
        <c:scaling>
          <c:orientation val="minMax"/>
          <c:max val="121.601804123711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5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6F8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Courbe Couple Puissance vs Vitesse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'Carac Orig'!$B$1</c:f>
            </c:strRef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val>
            <c:numRef>
              <c:f>'Carac Orig'!$B$2:$B$12</c:f>
              <c:numCache/>
            </c:numRef>
          </c:val>
          <c:smooth val="1"/>
        </c:ser>
        <c:ser>
          <c:idx val="2"/>
          <c:order val="2"/>
          <c:tx>
            <c:strRef>
              <c:f>'Carac Orig'!$D$1</c:f>
            </c:strRef>
          </c:tx>
          <c:spPr>
            <a:ln cmpd="sng">
              <a:solidFill>
                <a:schemeClr val="accent4"/>
              </a:solidFill>
              <a:prstDash val="dash"/>
            </a:ln>
          </c:spPr>
          <c:marker>
            <c:symbol val="none"/>
          </c:marker>
          <c:val>
            <c:numRef>
              <c:f>'Carac Orig'!$D$2:$D$12</c:f>
              <c:numCache/>
            </c:numRef>
          </c:val>
          <c:smooth val="1"/>
        </c:ser>
        <c:ser>
          <c:idx val="4"/>
          <c:order val="4"/>
          <c:tx>
            <c:strRef>
              <c:f>'Carac Orig'!$F$1</c:f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val>
            <c:numRef>
              <c:f>'Carac Orig'!$F$2:$F$12</c:f>
              <c:numCache/>
            </c:numRef>
          </c:val>
          <c:smooth val="1"/>
        </c:ser>
        <c:axId val="697112929"/>
        <c:axId val="1332203765"/>
      </c:lineChart>
      <c:catAx>
        <c:axId val="697112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203765"/>
      </c:catAx>
      <c:valAx>
        <c:axId val="1332203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Puissance (W)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112929"/>
      </c:valAx>
      <c:lineChart>
        <c:ser>
          <c:idx val="1"/>
          <c:order val="1"/>
          <c:tx>
            <c:strRef>
              <c:f>'Carac Orig'!$C$1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'Carac Orig'!$C$2:$C$12</c:f>
              <c:numCache/>
            </c:numRef>
          </c:val>
          <c:smooth val="1"/>
        </c:ser>
        <c:ser>
          <c:idx val="3"/>
          <c:order val="3"/>
          <c:tx>
            <c:strRef>
              <c:f>'Carac Orig'!$E$1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'Carac Orig'!$E$2:$E$12</c:f>
              <c:numCache/>
            </c:numRef>
          </c:val>
          <c:smooth val="1"/>
        </c:ser>
        <c:ser>
          <c:idx val="5"/>
          <c:order val="5"/>
          <c:tx>
            <c:strRef>
              <c:f>'Carac Orig'!$G$1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'Carac Orig'!$G$2:$G$12</c:f>
              <c:numCache/>
            </c:numRef>
          </c:val>
          <c:smooth val="1"/>
        </c:ser>
        <c:axId val="350692924"/>
        <c:axId val="17630259"/>
      </c:lineChart>
      <c:catAx>
        <c:axId val="350692924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0259"/>
      </c:catAx>
      <c:valAx>
        <c:axId val="176302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69292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Courbe Couple Puissance vs Vitesse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'Carac randomly modified'!$B$1</c:f>
            </c:strRef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val>
            <c:numRef>
              <c:f>'Carac randomly modified'!$B$2:$B$12</c:f>
              <c:numCache/>
            </c:numRef>
          </c:val>
          <c:smooth val="1"/>
        </c:ser>
        <c:ser>
          <c:idx val="2"/>
          <c:order val="2"/>
          <c:tx>
            <c:strRef>
              <c:f>'Carac randomly modified'!$D$1</c:f>
            </c:strRef>
          </c:tx>
          <c:spPr>
            <a:ln cmpd="sng">
              <a:solidFill>
                <a:schemeClr val="accent4"/>
              </a:solidFill>
              <a:prstDash val="dash"/>
            </a:ln>
          </c:spPr>
          <c:marker>
            <c:symbol val="none"/>
          </c:marker>
          <c:val>
            <c:numRef>
              <c:f>'Carac randomly modified'!$D$2:$D$12</c:f>
              <c:numCache/>
            </c:numRef>
          </c:val>
          <c:smooth val="1"/>
        </c:ser>
        <c:ser>
          <c:idx val="4"/>
          <c:order val="4"/>
          <c:tx>
            <c:strRef>
              <c:f>'Carac randomly modified'!$F$1</c:f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val>
            <c:numRef>
              <c:f>'Carac randomly modified'!$F$2:$F$12</c:f>
              <c:numCache/>
            </c:numRef>
          </c:val>
          <c:smooth val="1"/>
        </c:ser>
        <c:axId val="121580197"/>
        <c:axId val="2130384532"/>
      </c:lineChart>
      <c:catAx>
        <c:axId val="121580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384532"/>
      </c:catAx>
      <c:valAx>
        <c:axId val="2130384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Puissance (W)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80197"/>
      </c:valAx>
      <c:lineChart>
        <c:ser>
          <c:idx val="1"/>
          <c:order val="1"/>
          <c:tx>
            <c:strRef>
              <c:f>'Carac randomly modified'!$C$1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'Carac randomly modified'!$C$2:$C$12</c:f>
              <c:numCache/>
            </c:numRef>
          </c:val>
          <c:smooth val="1"/>
        </c:ser>
        <c:ser>
          <c:idx val="3"/>
          <c:order val="3"/>
          <c:tx>
            <c:strRef>
              <c:f>'Carac randomly modified'!$E$1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'Carac randomly modified'!$E$2:$E$12</c:f>
              <c:numCache/>
            </c:numRef>
          </c:val>
          <c:smooth val="1"/>
        </c:ser>
        <c:ser>
          <c:idx val="5"/>
          <c:order val="5"/>
          <c:tx>
            <c:strRef>
              <c:f>'Carac randomly modified'!$G$1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'Carac randomly modified'!$G$2:$G$12</c:f>
              <c:numCache/>
            </c:numRef>
          </c:val>
          <c:smooth val="1"/>
        </c:ser>
        <c:axId val="1075138722"/>
        <c:axId val="1388359485"/>
      </c:lineChart>
      <c:catAx>
        <c:axId val="1075138722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359485"/>
      </c:catAx>
      <c:valAx>
        <c:axId val="13883594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1387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Courbe Couple Puissance vs Vitesse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'Carac frozen modification'!$B$1</c:f>
            </c:strRef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val>
            <c:numRef>
              <c:f>'Carac frozen modification'!$B$2:$B$12</c:f>
              <c:numCache/>
            </c:numRef>
          </c:val>
          <c:smooth val="1"/>
        </c:ser>
        <c:ser>
          <c:idx val="2"/>
          <c:order val="2"/>
          <c:tx>
            <c:strRef>
              <c:f>'Carac frozen modification'!$D$1</c:f>
            </c:strRef>
          </c:tx>
          <c:spPr>
            <a:ln cmpd="sng">
              <a:solidFill>
                <a:schemeClr val="accent4"/>
              </a:solidFill>
              <a:prstDash val="dash"/>
            </a:ln>
          </c:spPr>
          <c:marker>
            <c:symbol val="none"/>
          </c:marker>
          <c:val>
            <c:numRef>
              <c:f>'Carac frozen modification'!$D$2:$D$12</c:f>
              <c:numCache/>
            </c:numRef>
          </c:val>
          <c:smooth val="1"/>
        </c:ser>
        <c:ser>
          <c:idx val="4"/>
          <c:order val="4"/>
          <c:tx>
            <c:strRef>
              <c:f>'Carac frozen modification'!$F$1</c:f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val>
            <c:numRef>
              <c:f>'Carac frozen modification'!$F$2:$F$12</c:f>
              <c:numCache/>
            </c:numRef>
          </c:val>
          <c:smooth val="1"/>
        </c:ser>
        <c:axId val="306350562"/>
        <c:axId val="392163803"/>
      </c:lineChart>
      <c:catAx>
        <c:axId val="306350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Vitesse (RPM)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163803"/>
      </c:catAx>
      <c:valAx>
        <c:axId val="392163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Puissance (W)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350562"/>
      </c:valAx>
      <c:lineChart>
        <c:ser>
          <c:idx val="1"/>
          <c:order val="1"/>
          <c:tx>
            <c:strRef>
              <c:f>'Carac frozen modification'!$C$1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'Carac frozen modification'!$C$2:$C$12</c:f>
              <c:numCache/>
            </c:numRef>
          </c:val>
          <c:smooth val="1"/>
        </c:ser>
        <c:ser>
          <c:idx val="3"/>
          <c:order val="3"/>
          <c:tx>
            <c:strRef>
              <c:f>'Carac frozen modification'!$E$1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'Carac frozen modification'!$E$2:$E$12</c:f>
              <c:numCache/>
            </c:numRef>
          </c:val>
          <c:smooth val="1"/>
        </c:ser>
        <c:ser>
          <c:idx val="5"/>
          <c:order val="5"/>
          <c:tx>
            <c:strRef>
              <c:f>'Carac frozen modification'!$G$1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'Carac frozen modification'!$G$2:$G$12</c:f>
              <c:numCache/>
            </c:numRef>
          </c:val>
          <c:smooth val="1"/>
        </c:ser>
        <c:axId val="57487210"/>
        <c:axId val="537696013"/>
      </c:lineChart>
      <c:catAx>
        <c:axId val="57487210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696013"/>
      </c:catAx>
      <c:valAx>
        <c:axId val="5376960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Couple (Nm)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872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4</xdr:row>
      <xdr:rowOff>200025</xdr:rowOff>
    </xdr:from>
    <xdr:ext cx="11477625" cy="6896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4</xdr:row>
      <xdr:rowOff>200025</xdr:rowOff>
    </xdr:from>
    <xdr:ext cx="11477625" cy="6896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4</xdr:row>
      <xdr:rowOff>200025</xdr:rowOff>
    </xdr:from>
    <xdr:ext cx="11477625" cy="6896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15</xdr:row>
      <xdr:rowOff>38100</xdr:rowOff>
    </xdr:from>
    <xdr:ext cx="9353550" cy="5791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15</xdr:row>
      <xdr:rowOff>38100</xdr:rowOff>
    </xdr:from>
    <xdr:ext cx="9353550" cy="5791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15</xdr:row>
      <xdr:rowOff>38100</xdr:rowOff>
    </xdr:from>
    <xdr:ext cx="9353550" cy="5791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E100" displayName="Couple_vs._Vitesse_by_Cos_φ_Category_2" name="Couple_vs._Vitesse_by_Cos_φ_Category_2" id="1">
  <tableColumns count="5">
    <tableColumn name="Vitesse (RPM)" id="1"/>
    <tableColumn name="Couple (Nm)" id="2"/>
    <tableColumn name="Cos φ" id="3"/>
    <tableColumn name="Cat" id="4"/>
    <tableColumn name="Size" id="5"/>
  </tableColumns>
  <tableStyleInfo name="Efficiency Orig-style" showColumnStripes="0" showFirstColumn="1" showLastColumn="1" showRowStripes="1"/>
</table>
</file>

<file path=xl/tables/table2.xml><?xml version="1.0" encoding="utf-8"?>
<table xmlns="http://schemas.openxmlformats.org/spreadsheetml/2006/main" ref="A2:E100" displayName="Couple_vs._Vitesse_by_Cos_φ_Category" name="Couple_vs._Vitesse_by_Cos_φ_Category" id="2">
  <tableColumns count="5">
    <tableColumn name="Vitesse (RPM)" id="1"/>
    <tableColumn name="Couple (Nm)" id="2"/>
    <tableColumn name="Cos φ" id="3"/>
    <tableColumn name="Cat" id="4"/>
    <tableColumn name="Size" id="5"/>
  </tableColumns>
  <tableStyleInfo name="Efficiency randomly modified-style" showColumnStripes="0" showFirstColumn="1" showLastColumn="1" showRowStripes="1"/>
</table>
</file>

<file path=xl/tables/table3.xml><?xml version="1.0" encoding="utf-8"?>
<table xmlns="http://schemas.openxmlformats.org/spreadsheetml/2006/main" ref="A2:E100" displayName="Couple_vs._Vitesse_by_Cos_φ_Category_3" name="Couple_vs._Vitesse_by_Cos_φ_Category_3" id="3">
  <tableColumns count="5">
    <tableColumn name="Vitesse (RPM)" id="1"/>
    <tableColumn name="Couple (Nm)" id="2"/>
    <tableColumn name="Cos φ" id="3"/>
    <tableColumn name="Cat" id="4"/>
    <tableColumn name="Size" id="5"/>
  </tableColumns>
  <tableStyleInfo name="Efficiency frozen modification-style" showColumnStripes="0" showFirstColumn="1" showLastColumn="1" showRowStripes="1"/>
</table>
</file>

<file path=xl/tables/table4.xml><?xml version="1.0" encoding="utf-8"?>
<table xmlns="http://schemas.openxmlformats.org/spreadsheetml/2006/main" ref="A1:G12" displayName="Duty_Cycle" name="Duty_Cycle" id="4">
  <tableColumns count="7">
    <tableColumn name="Vitesse (RPM)" id="1"/>
    <tableColumn name="Puissance 5 min (W)" id="2"/>
    <tableColumn name="Couple 5 min (Nm)" id="3"/>
    <tableColumn name="Puissance 30 min (W)" id="4"/>
    <tableColumn name="Couple 30 min (Nm)" id="5"/>
    <tableColumn name="Puissance 60 min (W)" id="6"/>
    <tableColumn name="Couple 60 min (Nm)" id="7"/>
  </tableColumns>
  <tableStyleInfo name="Carac Orig-style" showColumnStripes="0" showFirstColumn="1" showLastColumn="1" showRowStripes="1"/>
</table>
</file>

<file path=xl/tables/table5.xml><?xml version="1.0" encoding="utf-8"?>
<table xmlns="http://schemas.openxmlformats.org/spreadsheetml/2006/main" ref="A1:G12" displayName="Duty_Cycle_2" name="Duty_Cycle_2" id="5">
  <tableColumns count="7">
    <tableColumn name="Vitesse (RPM)" id="1"/>
    <tableColumn name="Puissance 5 min (W)" id="2"/>
    <tableColumn name="Couple 5 min (Nm)" id="3"/>
    <tableColumn name="Puissance 30 min (W)" id="4"/>
    <tableColumn name="Couple 30 min (Nm)" id="5"/>
    <tableColumn name="Puissance 60 min (W)" id="6"/>
    <tableColumn name="Couple 60 min (Nm)" id="7"/>
  </tableColumns>
  <tableStyleInfo name="Carac randomly modified-style" showColumnStripes="0" showFirstColumn="1" showLastColumn="1" showRowStripes="1"/>
</table>
</file>

<file path=xl/tables/table6.xml><?xml version="1.0" encoding="utf-8"?>
<table xmlns="http://schemas.openxmlformats.org/spreadsheetml/2006/main" ref="A1:G12" displayName="Duty_Cycle_3" name="Duty_Cycle_3" id="6">
  <tableColumns count="7">
    <tableColumn name="Vitesse (RPM)" id="1"/>
    <tableColumn name="Puissance 5 min (W)" id="2"/>
    <tableColumn name="Couple 5 min (Nm)" id="3"/>
    <tableColumn name="Puissance 30 min (W)" id="4"/>
    <tableColumn name="Couple 30 min (Nm)" id="5"/>
    <tableColumn name="Puissance 60 min (W)" id="6"/>
    <tableColumn name="Couple 60 min (Nm)" id="7"/>
  </tableColumns>
  <tableStyleInfo name="Carac frozen modific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63"/>
    <col customWidth="1" min="3" max="3" width="12.63"/>
    <col customWidth="1" min="4" max="4" width="6.88"/>
    <col customWidth="1" min="5" max="5" width="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4">
        <v>3003.0</v>
      </c>
      <c r="B3" s="5">
        <v>16.1</v>
      </c>
      <c r="C3" s="5">
        <v>0.21</v>
      </c>
      <c r="D3" s="6">
        <f t="shared" ref="D3:D100" si="1">IF(C3&lt;=0.5, 1, IF(C3 &lt;= 0.7, 2, IF(C3 &lt;= 0.8, 3, IF(C3 &lt;= 0.9, 4, IF(C3 &lt;= 1.01, 5, NA())))))</f>
        <v>1</v>
      </c>
      <c r="E3" s="7">
        <v>1.0</v>
      </c>
    </row>
    <row r="4">
      <c r="A4" s="8">
        <v>1546.0</v>
      </c>
      <c r="B4" s="9">
        <v>18.8</v>
      </c>
      <c r="C4" s="9">
        <v>0.41</v>
      </c>
      <c r="D4" s="9">
        <f t="shared" si="1"/>
        <v>1</v>
      </c>
      <c r="E4" s="10">
        <v>1.0</v>
      </c>
    </row>
    <row r="5">
      <c r="A5" s="4">
        <v>1230.0</v>
      </c>
      <c r="B5" s="5">
        <v>31.0</v>
      </c>
      <c r="C5" s="5">
        <v>0.54</v>
      </c>
      <c r="D5" s="5">
        <f t="shared" si="1"/>
        <v>2</v>
      </c>
      <c r="E5" s="7">
        <v>1.0</v>
      </c>
    </row>
    <row r="6">
      <c r="A6" s="8">
        <v>2445.0</v>
      </c>
      <c r="B6" s="9">
        <v>7.8</v>
      </c>
      <c r="C6" s="9">
        <v>0.58</v>
      </c>
      <c r="D6" s="9">
        <f t="shared" si="1"/>
        <v>2</v>
      </c>
      <c r="E6" s="10">
        <v>1.0</v>
      </c>
    </row>
    <row r="7">
      <c r="A7" s="4">
        <v>929.0</v>
      </c>
      <c r="B7" s="5">
        <v>33.5</v>
      </c>
      <c r="C7" s="5">
        <v>0.59</v>
      </c>
      <c r="D7" s="5">
        <f t="shared" si="1"/>
        <v>2</v>
      </c>
      <c r="E7" s="7">
        <v>1.0</v>
      </c>
    </row>
    <row r="8">
      <c r="A8" s="8">
        <v>1224.0</v>
      </c>
      <c r="B8" s="9">
        <v>39.6</v>
      </c>
      <c r="C8" s="9">
        <v>0.61</v>
      </c>
      <c r="D8" s="9">
        <f t="shared" si="1"/>
        <v>2</v>
      </c>
      <c r="E8" s="10">
        <v>1.0</v>
      </c>
    </row>
    <row r="9">
      <c r="A9" s="4">
        <v>1531.0</v>
      </c>
      <c r="B9" s="5">
        <v>33.2</v>
      </c>
      <c r="C9" s="5">
        <v>0.62</v>
      </c>
      <c r="D9" s="5">
        <f t="shared" si="1"/>
        <v>2</v>
      </c>
      <c r="E9" s="7">
        <v>1.0</v>
      </c>
    </row>
    <row r="10">
      <c r="A10" s="8">
        <v>1835.0</v>
      </c>
      <c r="B10" s="9">
        <v>15.9</v>
      </c>
      <c r="C10" s="9">
        <v>0.66</v>
      </c>
      <c r="D10" s="9">
        <f t="shared" si="1"/>
        <v>2</v>
      </c>
      <c r="E10" s="10">
        <v>1.0</v>
      </c>
    </row>
    <row r="11">
      <c r="A11" s="4">
        <v>922.0</v>
      </c>
      <c r="B11" s="5">
        <v>43.0</v>
      </c>
      <c r="C11" s="5">
        <v>0.66</v>
      </c>
      <c r="D11" s="5">
        <f t="shared" si="1"/>
        <v>2</v>
      </c>
      <c r="E11" s="7">
        <v>1.0</v>
      </c>
    </row>
    <row r="12">
      <c r="A12" s="8">
        <v>615.0</v>
      </c>
      <c r="B12" s="9">
        <v>48.2</v>
      </c>
      <c r="C12" s="9">
        <v>0.67</v>
      </c>
      <c r="D12" s="9">
        <f t="shared" si="1"/>
        <v>2</v>
      </c>
      <c r="E12" s="10">
        <v>1.0</v>
      </c>
    </row>
    <row r="13">
      <c r="A13" s="4">
        <v>2132.0</v>
      </c>
      <c r="B13" s="5">
        <v>13.7</v>
      </c>
      <c r="C13" s="5">
        <v>0.7</v>
      </c>
      <c r="D13" s="5">
        <f t="shared" si="1"/>
        <v>2</v>
      </c>
      <c r="E13" s="7">
        <v>1.0</v>
      </c>
    </row>
    <row r="14">
      <c r="A14" s="8">
        <v>2445.0</v>
      </c>
      <c r="B14" s="9">
        <v>11.8</v>
      </c>
      <c r="C14" s="9">
        <v>0.71</v>
      </c>
      <c r="D14" s="9">
        <f t="shared" si="1"/>
        <v>3</v>
      </c>
      <c r="E14" s="10">
        <v>1.0</v>
      </c>
    </row>
    <row r="15">
      <c r="A15" s="4">
        <v>1508.0</v>
      </c>
      <c r="B15" s="5">
        <v>57.9</v>
      </c>
      <c r="C15" s="5">
        <v>0.72</v>
      </c>
      <c r="D15" s="5">
        <f t="shared" si="1"/>
        <v>3</v>
      </c>
      <c r="E15" s="7">
        <v>1.0</v>
      </c>
    </row>
    <row r="16">
      <c r="A16" s="8">
        <v>913.0</v>
      </c>
      <c r="B16" s="9">
        <v>52.5</v>
      </c>
      <c r="C16" s="9">
        <v>0.73</v>
      </c>
      <c r="D16" s="9">
        <f t="shared" si="1"/>
        <v>3</v>
      </c>
      <c r="E16" s="10">
        <v>1.0</v>
      </c>
    </row>
    <row r="17">
      <c r="A17" s="4">
        <v>1127.0</v>
      </c>
      <c r="B17" s="5">
        <v>111.5</v>
      </c>
      <c r="C17" s="5">
        <v>0.73</v>
      </c>
      <c r="D17" s="5">
        <f t="shared" si="1"/>
        <v>3</v>
      </c>
      <c r="E17" s="7">
        <v>1.0</v>
      </c>
    </row>
    <row r="18">
      <c r="A18" s="8">
        <v>1513.0</v>
      </c>
      <c r="B18" s="9">
        <v>47.7</v>
      </c>
      <c r="C18" s="9">
        <v>0.74</v>
      </c>
      <c r="D18" s="9">
        <f t="shared" si="1"/>
        <v>3</v>
      </c>
      <c r="E18" s="10">
        <v>1.0</v>
      </c>
    </row>
    <row r="19">
      <c r="A19" s="4">
        <v>1828.0</v>
      </c>
      <c r="B19" s="5">
        <v>26.7</v>
      </c>
      <c r="C19" s="5">
        <v>0.76</v>
      </c>
      <c r="D19" s="5">
        <f t="shared" si="1"/>
        <v>3</v>
      </c>
      <c r="E19" s="7">
        <v>1.0</v>
      </c>
    </row>
    <row r="20">
      <c r="A20" s="8">
        <v>4255.0</v>
      </c>
      <c r="B20" s="9">
        <v>2.5</v>
      </c>
      <c r="C20" s="9">
        <v>0.77</v>
      </c>
      <c r="D20" s="9">
        <f t="shared" si="1"/>
        <v>3</v>
      </c>
      <c r="E20" s="10">
        <v>1.0</v>
      </c>
    </row>
    <row r="21">
      <c r="A21" s="4">
        <v>2740.0</v>
      </c>
      <c r="B21" s="5">
        <v>11.3</v>
      </c>
      <c r="C21" s="5">
        <v>0.78</v>
      </c>
      <c r="D21" s="5">
        <f t="shared" si="1"/>
        <v>3</v>
      </c>
      <c r="E21" s="7">
        <v>1.0</v>
      </c>
    </row>
    <row r="22">
      <c r="A22" s="8">
        <v>902.0</v>
      </c>
      <c r="B22" s="9">
        <v>64.4</v>
      </c>
      <c r="C22" s="9">
        <v>0.8</v>
      </c>
      <c r="D22" s="9">
        <f t="shared" si="1"/>
        <v>3</v>
      </c>
      <c r="E22" s="10">
        <v>1.0</v>
      </c>
    </row>
    <row r="23">
      <c r="A23" s="4">
        <v>2132.0</v>
      </c>
      <c r="B23" s="5">
        <v>22.7</v>
      </c>
      <c r="C23" s="5">
        <v>0.82</v>
      </c>
      <c r="D23" s="5">
        <f t="shared" si="1"/>
        <v>4</v>
      </c>
      <c r="E23" s="7">
        <v>1.0</v>
      </c>
    </row>
    <row r="24">
      <c r="A24" s="8">
        <v>4219.0</v>
      </c>
      <c r="B24" s="9">
        <v>6.6</v>
      </c>
      <c r="C24" s="9">
        <v>0.83</v>
      </c>
      <c r="D24" s="9">
        <f t="shared" si="1"/>
        <v>4</v>
      </c>
      <c r="E24" s="10">
        <v>1.0</v>
      </c>
    </row>
    <row r="25">
      <c r="A25" s="4">
        <v>1821.0</v>
      </c>
      <c r="B25" s="5">
        <v>37.3</v>
      </c>
      <c r="C25" s="5">
        <v>0.83</v>
      </c>
      <c r="D25" s="5">
        <f t="shared" si="1"/>
        <v>4</v>
      </c>
      <c r="E25" s="7">
        <v>1.0</v>
      </c>
    </row>
    <row r="26">
      <c r="A26" s="8">
        <v>1212.0</v>
      </c>
      <c r="B26" s="9">
        <v>55.9</v>
      </c>
      <c r="C26" s="9">
        <v>0.83</v>
      </c>
      <c r="D26" s="9">
        <f t="shared" si="1"/>
        <v>4</v>
      </c>
      <c r="E26" s="10">
        <v>1.0</v>
      </c>
    </row>
    <row r="27">
      <c r="A27" s="4">
        <v>3040.0</v>
      </c>
      <c r="B27" s="5">
        <v>9.8</v>
      </c>
      <c r="C27" s="5">
        <v>0.84</v>
      </c>
      <c r="D27" s="5">
        <f t="shared" si="1"/>
        <v>4</v>
      </c>
      <c r="E27" s="7">
        <v>1.0</v>
      </c>
    </row>
    <row r="28">
      <c r="A28" s="8">
        <v>2421.0</v>
      </c>
      <c r="B28" s="9">
        <v>20.3</v>
      </c>
      <c r="C28" s="9">
        <v>0.84</v>
      </c>
      <c r="D28" s="9">
        <f t="shared" si="1"/>
        <v>4</v>
      </c>
      <c r="E28" s="10">
        <v>1.0</v>
      </c>
    </row>
    <row r="29">
      <c r="A29" s="4">
        <v>1795.0</v>
      </c>
      <c r="B29" s="5">
        <v>49.1</v>
      </c>
      <c r="C29" s="5">
        <v>0.84</v>
      </c>
      <c r="D29" s="5">
        <f t="shared" si="1"/>
        <v>4</v>
      </c>
      <c r="E29" s="7">
        <v>1.0</v>
      </c>
    </row>
    <row r="30">
      <c r="A30" s="8">
        <v>4082.0</v>
      </c>
      <c r="B30" s="9">
        <v>23.4</v>
      </c>
      <c r="C30" s="9">
        <v>0.85</v>
      </c>
      <c r="D30" s="9">
        <f t="shared" si="1"/>
        <v>4</v>
      </c>
      <c r="E30" s="10">
        <v>1.0</v>
      </c>
    </row>
    <row r="31">
      <c r="A31" s="4">
        <v>3636.0</v>
      </c>
      <c r="B31" s="5">
        <v>7.9</v>
      </c>
      <c r="C31" s="5">
        <v>0.86</v>
      </c>
      <c r="D31" s="5">
        <f t="shared" si="1"/>
        <v>4</v>
      </c>
      <c r="E31" s="7">
        <v>1.0</v>
      </c>
    </row>
    <row r="32">
      <c r="A32" s="8">
        <v>2105.0</v>
      </c>
      <c r="B32" s="9">
        <v>31.6</v>
      </c>
      <c r="C32" s="9">
        <v>0.86</v>
      </c>
      <c r="D32" s="9">
        <f t="shared" si="1"/>
        <v>4</v>
      </c>
      <c r="E32" s="10">
        <v>1.0</v>
      </c>
    </row>
    <row r="33">
      <c r="A33" s="4">
        <v>2725.0</v>
      </c>
      <c r="B33" s="5">
        <v>17.5</v>
      </c>
      <c r="C33" s="5">
        <v>0.87</v>
      </c>
      <c r="D33" s="5">
        <f t="shared" si="1"/>
        <v>4</v>
      </c>
      <c r="E33" s="7">
        <v>1.0</v>
      </c>
    </row>
    <row r="34">
      <c r="A34" s="8">
        <v>2695.0</v>
      </c>
      <c r="B34" s="9">
        <v>28.7</v>
      </c>
      <c r="C34" s="9">
        <v>0.87</v>
      </c>
      <c r="D34" s="9">
        <f t="shared" si="1"/>
        <v>4</v>
      </c>
      <c r="E34" s="10">
        <v>1.0</v>
      </c>
    </row>
    <row r="35">
      <c r="A35" s="4">
        <v>2584.0</v>
      </c>
      <c r="B35" s="5">
        <v>52.3</v>
      </c>
      <c r="C35" s="5">
        <v>0.87</v>
      </c>
      <c r="D35" s="5">
        <f t="shared" si="1"/>
        <v>4</v>
      </c>
      <c r="E35" s="7">
        <v>1.0</v>
      </c>
    </row>
    <row r="36">
      <c r="A36" s="8">
        <v>2584.0</v>
      </c>
      <c r="B36" s="9">
        <v>53.0</v>
      </c>
      <c r="C36" s="9">
        <v>0.87</v>
      </c>
      <c r="D36" s="9">
        <f t="shared" si="1"/>
        <v>4</v>
      </c>
      <c r="E36" s="10">
        <v>1.0</v>
      </c>
    </row>
    <row r="37">
      <c r="A37" s="4">
        <v>1795.0</v>
      </c>
      <c r="B37" s="5">
        <v>54.0</v>
      </c>
      <c r="C37" s="5">
        <v>0.87</v>
      </c>
      <c r="D37" s="5">
        <f t="shared" si="1"/>
        <v>4</v>
      </c>
      <c r="E37" s="7">
        <v>1.0</v>
      </c>
    </row>
    <row r="38">
      <c r="A38" s="8">
        <v>4255.0</v>
      </c>
      <c r="B38" s="9">
        <v>5.0</v>
      </c>
      <c r="C38" s="9">
        <v>0.88</v>
      </c>
      <c r="D38" s="9">
        <f t="shared" si="1"/>
        <v>4</v>
      </c>
      <c r="E38" s="10">
        <v>1.0</v>
      </c>
    </row>
    <row r="39">
      <c r="A39" s="4">
        <v>4255.0</v>
      </c>
      <c r="B39" s="5">
        <v>9.5</v>
      </c>
      <c r="C39" s="5">
        <v>0.88</v>
      </c>
      <c r="D39" s="5">
        <f t="shared" si="1"/>
        <v>4</v>
      </c>
      <c r="E39" s="7">
        <v>1.0</v>
      </c>
    </row>
    <row r="40">
      <c r="A40" s="8">
        <v>4149.0</v>
      </c>
      <c r="B40" s="9">
        <v>21.0</v>
      </c>
      <c r="C40" s="9">
        <v>0.88</v>
      </c>
      <c r="D40" s="9">
        <f t="shared" si="1"/>
        <v>4</v>
      </c>
      <c r="E40" s="10">
        <v>1.0</v>
      </c>
    </row>
    <row r="41">
      <c r="A41" s="4">
        <v>3534.0</v>
      </c>
      <c r="B41" s="5">
        <v>24.8</v>
      </c>
      <c r="C41" s="5">
        <v>0.88</v>
      </c>
      <c r="D41" s="5">
        <f t="shared" si="1"/>
        <v>4</v>
      </c>
      <c r="E41" s="7">
        <v>1.0</v>
      </c>
    </row>
    <row r="42">
      <c r="A42" s="8">
        <v>3534.0</v>
      </c>
      <c r="B42" s="9">
        <v>27.1</v>
      </c>
      <c r="C42" s="9">
        <v>0.88</v>
      </c>
      <c r="D42" s="9">
        <f t="shared" si="1"/>
        <v>4</v>
      </c>
      <c r="E42" s="10">
        <v>1.0</v>
      </c>
    </row>
    <row r="43">
      <c r="A43" s="4">
        <v>2278.0</v>
      </c>
      <c r="B43" s="5">
        <v>67.3</v>
      </c>
      <c r="C43" s="5">
        <v>0.88</v>
      </c>
      <c r="D43" s="5">
        <f t="shared" si="1"/>
        <v>4</v>
      </c>
      <c r="E43" s="7">
        <v>1.0</v>
      </c>
    </row>
    <row r="44">
      <c r="A44" s="8">
        <v>4184.0</v>
      </c>
      <c r="B44" s="9">
        <v>14.7</v>
      </c>
      <c r="C44" s="9">
        <v>0.89</v>
      </c>
      <c r="D44" s="9">
        <f t="shared" si="1"/>
        <v>4</v>
      </c>
      <c r="E44" s="10">
        <v>1.0</v>
      </c>
    </row>
    <row r="45">
      <c r="A45" s="4">
        <v>2710.0</v>
      </c>
      <c r="B45" s="5">
        <v>25.1</v>
      </c>
      <c r="C45" s="5">
        <v>0.89</v>
      </c>
      <c r="D45" s="5">
        <f t="shared" si="1"/>
        <v>4</v>
      </c>
      <c r="E45" s="7">
        <v>1.0</v>
      </c>
    </row>
    <row r="46">
      <c r="A46" s="8">
        <v>2105.0</v>
      </c>
      <c r="B46" s="9">
        <v>36.5</v>
      </c>
      <c r="C46" s="9">
        <v>0.89</v>
      </c>
      <c r="D46" s="9">
        <f t="shared" si="1"/>
        <v>4</v>
      </c>
      <c r="E46" s="10">
        <v>1.0</v>
      </c>
    </row>
    <row r="47">
      <c r="A47" s="4">
        <v>1195.0</v>
      </c>
      <c r="B47" s="5">
        <v>72.0</v>
      </c>
      <c r="C47" s="5">
        <v>0.89</v>
      </c>
      <c r="D47" s="5">
        <f t="shared" si="1"/>
        <v>4</v>
      </c>
      <c r="E47" s="7">
        <v>1.0</v>
      </c>
    </row>
    <row r="48">
      <c r="A48" s="8">
        <v>3003.0</v>
      </c>
      <c r="B48" s="9">
        <v>25.5</v>
      </c>
      <c r="C48" s="9">
        <v>0.9</v>
      </c>
      <c r="D48" s="9">
        <f t="shared" si="1"/>
        <v>4</v>
      </c>
      <c r="E48" s="10">
        <v>1.0</v>
      </c>
    </row>
    <row r="49">
      <c r="A49" s="4">
        <v>3509.0</v>
      </c>
      <c r="B49" s="5">
        <v>30.6</v>
      </c>
      <c r="C49" s="5">
        <v>0.9</v>
      </c>
      <c r="D49" s="5">
        <f t="shared" si="1"/>
        <v>4</v>
      </c>
      <c r="E49" s="7">
        <v>1.0</v>
      </c>
    </row>
    <row r="50">
      <c r="A50" s="8">
        <v>2933.0</v>
      </c>
      <c r="B50" s="9">
        <v>39.6</v>
      </c>
      <c r="C50" s="9">
        <v>0.9</v>
      </c>
      <c r="D50" s="9">
        <f t="shared" si="1"/>
        <v>4</v>
      </c>
      <c r="E50" s="10">
        <v>1.0</v>
      </c>
    </row>
    <row r="51">
      <c r="A51" s="4">
        <v>2364.0</v>
      </c>
      <c r="B51" s="5">
        <v>44.8</v>
      </c>
      <c r="C51" s="5">
        <v>0.9</v>
      </c>
      <c r="D51" s="5">
        <f t="shared" si="1"/>
        <v>4</v>
      </c>
      <c r="E51" s="7">
        <v>1.0</v>
      </c>
    </row>
    <row r="52">
      <c r="A52" s="8">
        <v>2611.0</v>
      </c>
      <c r="B52" s="9">
        <v>48.2</v>
      </c>
      <c r="C52" s="9">
        <v>0.9</v>
      </c>
      <c r="D52" s="9">
        <f t="shared" si="1"/>
        <v>4</v>
      </c>
      <c r="E52" s="10">
        <v>1.0</v>
      </c>
    </row>
    <row r="53">
      <c r="A53" s="4">
        <v>1783.0</v>
      </c>
      <c r="B53" s="5">
        <v>64.9</v>
      </c>
      <c r="C53" s="5">
        <v>0.9</v>
      </c>
      <c r="D53" s="5">
        <f t="shared" si="1"/>
        <v>4</v>
      </c>
      <c r="E53" s="7">
        <v>1.0</v>
      </c>
    </row>
    <row r="54">
      <c r="A54" s="8">
        <v>887.0</v>
      </c>
      <c r="B54" s="9">
        <v>76.1</v>
      </c>
      <c r="C54" s="9">
        <v>0.9</v>
      </c>
      <c r="D54" s="9">
        <f t="shared" si="1"/>
        <v>4</v>
      </c>
      <c r="E54" s="10">
        <v>1.0</v>
      </c>
    </row>
    <row r="55">
      <c r="A55" s="4">
        <v>1486.0</v>
      </c>
      <c r="B55" s="5">
        <v>78.1</v>
      </c>
      <c r="C55" s="5">
        <v>0.9</v>
      </c>
      <c r="D55" s="5">
        <f t="shared" si="1"/>
        <v>4</v>
      </c>
      <c r="E55" s="7">
        <v>1.0</v>
      </c>
    </row>
    <row r="56">
      <c r="A56" s="8">
        <v>1477.0</v>
      </c>
      <c r="B56" s="9">
        <v>87.0</v>
      </c>
      <c r="C56" s="9">
        <v>0.9</v>
      </c>
      <c r="D56" s="9">
        <f t="shared" si="1"/>
        <v>4</v>
      </c>
      <c r="E56" s="10">
        <v>1.0</v>
      </c>
    </row>
    <row r="57">
      <c r="A57" s="4">
        <v>1727.0</v>
      </c>
      <c r="B57" s="5">
        <v>87.5</v>
      </c>
      <c r="C57" s="5">
        <v>0.9</v>
      </c>
      <c r="D57" s="5">
        <f t="shared" si="1"/>
        <v>4</v>
      </c>
      <c r="E57" s="7">
        <v>1.0</v>
      </c>
    </row>
    <row r="58">
      <c r="A58" s="8">
        <v>1151.0</v>
      </c>
      <c r="B58" s="9">
        <v>102.8</v>
      </c>
      <c r="C58" s="9">
        <v>0.9</v>
      </c>
      <c r="D58" s="9">
        <f t="shared" si="1"/>
        <v>4</v>
      </c>
      <c r="E58" s="10">
        <v>1.0</v>
      </c>
    </row>
    <row r="59">
      <c r="A59" s="4">
        <v>2410.0</v>
      </c>
      <c r="B59" s="5">
        <v>28.4</v>
      </c>
      <c r="C59" s="5">
        <v>0.91</v>
      </c>
      <c r="D59" s="5">
        <f t="shared" si="1"/>
        <v>5</v>
      </c>
      <c r="E59" s="7">
        <v>1.0</v>
      </c>
    </row>
    <row r="60">
      <c r="A60" s="8">
        <v>1481.0</v>
      </c>
      <c r="B60" s="9">
        <v>84.6</v>
      </c>
      <c r="C60" s="9">
        <v>0.91</v>
      </c>
      <c r="D60" s="9">
        <f t="shared" si="1"/>
        <v>5</v>
      </c>
      <c r="E60" s="10">
        <v>1.0</v>
      </c>
    </row>
    <row r="61">
      <c r="A61" s="4">
        <v>3610.0</v>
      </c>
      <c r="B61" s="5">
        <v>13.4</v>
      </c>
      <c r="C61" s="5">
        <v>0.92</v>
      </c>
      <c r="D61" s="5">
        <f t="shared" si="1"/>
        <v>5</v>
      </c>
      <c r="E61" s="7">
        <v>1.0</v>
      </c>
    </row>
    <row r="62">
      <c r="A62" s="8">
        <v>2398.0</v>
      </c>
      <c r="B62" s="9">
        <v>36.5</v>
      </c>
      <c r="C62" s="9">
        <v>0.92</v>
      </c>
      <c r="D62" s="9">
        <f t="shared" si="1"/>
        <v>5</v>
      </c>
      <c r="E62" s="10">
        <v>1.0</v>
      </c>
    </row>
    <row r="63">
      <c r="A63" s="4">
        <v>2375.0</v>
      </c>
      <c r="B63" s="5">
        <v>41.5</v>
      </c>
      <c r="C63" s="5">
        <v>0.92</v>
      </c>
      <c r="D63" s="5">
        <f t="shared" si="1"/>
        <v>5</v>
      </c>
      <c r="E63" s="7">
        <v>1.0</v>
      </c>
    </row>
    <row r="64">
      <c r="A64" s="8">
        <v>2899.0</v>
      </c>
      <c r="B64" s="9">
        <v>44.2</v>
      </c>
      <c r="C64" s="9">
        <v>0.92</v>
      </c>
      <c r="D64" s="9">
        <f t="shared" si="1"/>
        <v>5</v>
      </c>
      <c r="E64" s="10">
        <v>1.0</v>
      </c>
    </row>
    <row r="65">
      <c r="A65" s="4">
        <v>2208.0</v>
      </c>
      <c r="B65" s="5">
        <v>52.0</v>
      </c>
      <c r="C65" s="5">
        <v>0.92</v>
      </c>
      <c r="D65" s="5">
        <f t="shared" si="1"/>
        <v>5</v>
      </c>
      <c r="E65" s="7">
        <v>1.0</v>
      </c>
    </row>
    <row r="66">
      <c r="A66" s="8">
        <v>2045.0</v>
      </c>
      <c r="B66" s="9">
        <v>66.4</v>
      </c>
      <c r="C66" s="9">
        <v>0.92</v>
      </c>
      <c r="D66" s="9">
        <f t="shared" si="1"/>
        <v>5</v>
      </c>
      <c r="E66" s="10">
        <v>1.0</v>
      </c>
    </row>
    <row r="67">
      <c r="A67" s="4">
        <v>1504.0</v>
      </c>
      <c r="B67" s="5">
        <v>68.0</v>
      </c>
      <c r="C67" s="5">
        <v>0.92</v>
      </c>
      <c r="D67" s="5">
        <f t="shared" si="1"/>
        <v>5</v>
      </c>
      <c r="E67" s="7">
        <v>1.0</v>
      </c>
    </row>
    <row r="68">
      <c r="A68" s="8">
        <v>1186.0</v>
      </c>
      <c r="B68" s="9">
        <v>82.1</v>
      </c>
      <c r="C68" s="9">
        <v>0.92</v>
      </c>
      <c r="D68" s="9">
        <f t="shared" si="1"/>
        <v>5</v>
      </c>
      <c r="E68" s="10">
        <v>1.0</v>
      </c>
    </row>
    <row r="69">
      <c r="A69" s="4">
        <v>1733.0</v>
      </c>
      <c r="B69" s="5">
        <v>83.3</v>
      </c>
      <c r="C69" s="5">
        <v>0.92</v>
      </c>
      <c r="D69" s="5">
        <f t="shared" si="1"/>
        <v>5</v>
      </c>
      <c r="E69" s="7">
        <v>1.0</v>
      </c>
    </row>
    <row r="70">
      <c r="A70" s="8">
        <v>524.0</v>
      </c>
      <c r="B70" s="9">
        <v>87.0</v>
      </c>
      <c r="C70" s="9">
        <v>0.92</v>
      </c>
      <c r="D70" s="9">
        <f t="shared" si="1"/>
        <v>5</v>
      </c>
      <c r="E70" s="10">
        <v>1.0</v>
      </c>
    </row>
    <row r="71">
      <c r="A71" s="4">
        <v>1473.0</v>
      </c>
      <c r="B71" s="5">
        <v>91.2</v>
      </c>
      <c r="C71" s="5">
        <v>0.92</v>
      </c>
      <c r="D71" s="5">
        <f t="shared" si="1"/>
        <v>5</v>
      </c>
      <c r="E71" s="7">
        <v>1.0</v>
      </c>
    </row>
    <row r="72">
      <c r="A72" s="8">
        <v>4219.0</v>
      </c>
      <c r="B72" s="9">
        <v>13.0</v>
      </c>
      <c r="C72" s="9">
        <v>0.93</v>
      </c>
      <c r="D72" s="9">
        <f t="shared" si="1"/>
        <v>5</v>
      </c>
      <c r="E72" s="10">
        <v>1.0</v>
      </c>
    </row>
    <row r="73">
      <c r="A73" s="4">
        <v>3584.0</v>
      </c>
      <c r="B73" s="5">
        <v>19.1</v>
      </c>
      <c r="C73" s="5">
        <v>0.93</v>
      </c>
      <c r="D73" s="5">
        <f t="shared" si="1"/>
        <v>5</v>
      </c>
      <c r="E73" s="7">
        <v>1.0</v>
      </c>
    </row>
    <row r="74">
      <c r="A74" s="8">
        <v>4115.0</v>
      </c>
      <c r="B74" s="9">
        <v>22.6</v>
      </c>
      <c r="C74" s="9">
        <v>0.93</v>
      </c>
      <c r="D74" s="9">
        <f t="shared" si="1"/>
        <v>5</v>
      </c>
      <c r="E74" s="10">
        <v>1.0</v>
      </c>
    </row>
    <row r="75">
      <c r="A75" s="4">
        <v>3003.0</v>
      </c>
      <c r="B75" s="5">
        <v>22.9</v>
      </c>
      <c r="C75" s="5">
        <v>0.93</v>
      </c>
      <c r="D75" s="5">
        <f t="shared" si="1"/>
        <v>5</v>
      </c>
      <c r="E75" s="7">
        <v>1.0</v>
      </c>
    </row>
    <row r="76">
      <c r="A76" s="8">
        <v>2096.0</v>
      </c>
      <c r="B76" s="9">
        <v>46.3</v>
      </c>
      <c r="C76" s="9">
        <v>0.93</v>
      </c>
      <c r="D76" s="9">
        <f t="shared" si="1"/>
        <v>5</v>
      </c>
      <c r="E76" s="10">
        <v>1.0</v>
      </c>
    </row>
    <row r="77">
      <c r="A77" s="4">
        <v>2865.0</v>
      </c>
      <c r="B77" s="5">
        <v>46.5</v>
      </c>
      <c r="C77" s="5">
        <v>0.93</v>
      </c>
      <c r="D77" s="5">
        <f t="shared" si="1"/>
        <v>5</v>
      </c>
      <c r="E77" s="7">
        <v>1.0</v>
      </c>
    </row>
    <row r="78">
      <c r="A78" s="8">
        <v>2079.0</v>
      </c>
      <c r="B78" s="9">
        <v>51.1</v>
      </c>
      <c r="C78" s="9">
        <v>0.93</v>
      </c>
      <c r="D78" s="9">
        <f t="shared" si="1"/>
        <v>5</v>
      </c>
      <c r="E78" s="10">
        <v>1.0</v>
      </c>
    </row>
    <row r="79">
      <c r="A79" s="4">
        <v>1789.0</v>
      </c>
      <c r="B79" s="5">
        <v>59.9</v>
      </c>
      <c r="C79" s="5">
        <v>0.93</v>
      </c>
      <c r="D79" s="5">
        <f t="shared" si="1"/>
        <v>5</v>
      </c>
      <c r="E79" s="7">
        <v>1.0</v>
      </c>
    </row>
    <row r="80">
      <c r="A80" s="8">
        <v>2028.0</v>
      </c>
      <c r="B80" s="9">
        <v>70.8</v>
      </c>
      <c r="C80" s="9">
        <v>0.93</v>
      </c>
      <c r="D80" s="9">
        <f t="shared" si="1"/>
        <v>5</v>
      </c>
      <c r="E80" s="10">
        <v>1.0</v>
      </c>
    </row>
    <row r="81">
      <c r="A81" s="4">
        <v>867.0</v>
      </c>
      <c r="B81" s="5">
        <v>87.2</v>
      </c>
      <c r="C81" s="5">
        <v>0.93</v>
      </c>
      <c r="D81" s="5">
        <f t="shared" si="1"/>
        <v>5</v>
      </c>
      <c r="E81" s="7">
        <v>1.0</v>
      </c>
    </row>
    <row r="82">
      <c r="A82" s="8">
        <v>4184.0</v>
      </c>
      <c r="B82" s="9">
        <v>18.8</v>
      </c>
      <c r="C82" s="9">
        <v>0.94</v>
      </c>
      <c r="D82" s="9">
        <f t="shared" si="1"/>
        <v>5</v>
      </c>
      <c r="E82" s="10">
        <v>1.0</v>
      </c>
    </row>
    <row r="83">
      <c r="A83" s="4">
        <v>2681.0</v>
      </c>
      <c r="B83" s="5">
        <v>32.2</v>
      </c>
      <c r="C83" s="5">
        <v>0.94</v>
      </c>
      <c r="D83" s="5">
        <f t="shared" si="1"/>
        <v>5</v>
      </c>
      <c r="E83" s="7">
        <v>1.0</v>
      </c>
    </row>
    <row r="84">
      <c r="A84" s="8">
        <v>2639.0</v>
      </c>
      <c r="B84" s="9">
        <v>44.3</v>
      </c>
      <c r="C84" s="9">
        <v>0.94</v>
      </c>
      <c r="D84" s="9">
        <f t="shared" si="1"/>
        <v>5</v>
      </c>
      <c r="E84" s="10">
        <v>1.0</v>
      </c>
    </row>
    <row r="85">
      <c r="A85" s="4">
        <v>2849.0</v>
      </c>
      <c r="B85" s="5">
        <v>47.0</v>
      </c>
      <c r="C85" s="5">
        <v>0.94</v>
      </c>
      <c r="D85" s="5">
        <f t="shared" si="1"/>
        <v>5</v>
      </c>
      <c r="E85" s="7">
        <v>1.0</v>
      </c>
    </row>
    <row r="86">
      <c r="A86" s="8">
        <v>2062.0</v>
      </c>
      <c r="B86" s="9">
        <v>56.4</v>
      </c>
      <c r="C86" s="9">
        <v>0.94</v>
      </c>
      <c r="D86" s="9">
        <f t="shared" si="1"/>
        <v>5</v>
      </c>
      <c r="E86" s="10">
        <v>1.0</v>
      </c>
    </row>
    <row r="87">
      <c r="A87" s="4">
        <v>2278.0</v>
      </c>
      <c r="B87" s="5">
        <v>63.0</v>
      </c>
      <c r="C87" s="5">
        <v>0.94</v>
      </c>
      <c r="D87" s="5">
        <f t="shared" si="1"/>
        <v>5</v>
      </c>
      <c r="E87" s="7">
        <v>1.0</v>
      </c>
    </row>
    <row r="88">
      <c r="A88" s="8">
        <v>1996.0</v>
      </c>
      <c r="B88" s="9">
        <v>77.0</v>
      </c>
      <c r="C88" s="9">
        <v>0.94</v>
      </c>
      <c r="D88" s="9">
        <f t="shared" si="1"/>
        <v>5</v>
      </c>
      <c r="E88" s="10">
        <v>1.0</v>
      </c>
    </row>
    <row r="89">
      <c r="A89" s="4">
        <v>1178.0</v>
      </c>
      <c r="B89" s="5">
        <v>89.2</v>
      </c>
      <c r="C89" s="5">
        <v>0.94</v>
      </c>
      <c r="D89" s="5">
        <f t="shared" si="1"/>
        <v>5</v>
      </c>
      <c r="E89" s="7">
        <v>1.0</v>
      </c>
    </row>
    <row r="90">
      <c r="A90" s="8">
        <v>1451.0</v>
      </c>
      <c r="B90" s="9">
        <v>100.1</v>
      </c>
      <c r="C90" s="9">
        <v>0.94</v>
      </c>
      <c r="D90" s="9">
        <f t="shared" si="1"/>
        <v>5</v>
      </c>
      <c r="E90" s="10">
        <v>1.0</v>
      </c>
    </row>
    <row r="91">
      <c r="A91" s="4">
        <v>2985.0</v>
      </c>
      <c r="B91" s="5">
        <v>30.1</v>
      </c>
      <c r="C91" s="5">
        <v>0.95</v>
      </c>
      <c r="D91" s="5">
        <f t="shared" si="1"/>
        <v>5</v>
      </c>
      <c r="E91" s="7">
        <v>1.0</v>
      </c>
    </row>
    <row r="92">
      <c r="A92" s="8">
        <v>2967.0</v>
      </c>
      <c r="B92" s="9">
        <v>33.8</v>
      </c>
      <c r="C92" s="9">
        <v>0.96</v>
      </c>
      <c r="D92" s="9">
        <f t="shared" si="1"/>
        <v>5</v>
      </c>
      <c r="E92" s="10">
        <v>1.0</v>
      </c>
    </row>
    <row r="93">
      <c r="A93" s="4">
        <v>2667.0</v>
      </c>
      <c r="B93" s="5">
        <v>37.8</v>
      </c>
      <c r="C93" s="5">
        <v>0.96</v>
      </c>
      <c r="D93" s="5">
        <f t="shared" si="1"/>
        <v>5</v>
      </c>
      <c r="E93" s="7">
        <v>1.0</v>
      </c>
    </row>
    <row r="94">
      <c r="A94" s="8">
        <v>2342.0</v>
      </c>
      <c r="B94" s="9">
        <v>53.6</v>
      </c>
      <c r="C94" s="9">
        <v>0.96</v>
      </c>
      <c r="D94" s="9">
        <f t="shared" si="1"/>
        <v>5</v>
      </c>
      <c r="E94" s="10">
        <v>1.0</v>
      </c>
    </row>
    <row r="95">
      <c r="A95" s="4">
        <v>2309.0</v>
      </c>
      <c r="B95" s="5">
        <v>58.8</v>
      </c>
      <c r="C95" s="5">
        <v>0.96</v>
      </c>
      <c r="D95" s="5">
        <f t="shared" si="1"/>
        <v>5</v>
      </c>
      <c r="E95" s="7">
        <v>1.0</v>
      </c>
    </row>
    <row r="96">
      <c r="A96" s="8">
        <v>1757.0</v>
      </c>
      <c r="B96" s="9">
        <v>71.6</v>
      </c>
      <c r="C96" s="9">
        <v>0.96</v>
      </c>
      <c r="D96" s="9">
        <f t="shared" si="1"/>
        <v>5</v>
      </c>
      <c r="E96" s="10">
        <v>1.0</v>
      </c>
    </row>
    <row r="97">
      <c r="A97" s="4">
        <v>4149.0</v>
      </c>
      <c r="B97" s="5">
        <v>16.3</v>
      </c>
      <c r="C97" s="5">
        <v>0.97</v>
      </c>
      <c r="D97" s="5">
        <f t="shared" si="1"/>
        <v>5</v>
      </c>
      <c r="E97" s="7">
        <v>1.0</v>
      </c>
    </row>
    <row r="98">
      <c r="A98" s="8">
        <v>2353.0</v>
      </c>
      <c r="B98" s="9">
        <v>49.1</v>
      </c>
      <c r="C98" s="9">
        <v>0.97</v>
      </c>
      <c r="D98" s="9">
        <f t="shared" si="1"/>
        <v>5</v>
      </c>
      <c r="E98" s="10">
        <v>1.0</v>
      </c>
    </row>
    <row r="99">
      <c r="A99" s="4">
        <v>2653.0</v>
      </c>
      <c r="B99" s="5">
        <v>40.6</v>
      </c>
      <c r="C99" s="5">
        <v>1.01</v>
      </c>
      <c r="D99" s="5">
        <f t="shared" si="1"/>
        <v>5</v>
      </c>
      <c r="E99" s="7">
        <v>1.0</v>
      </c>
    </row>
    <row r="100" hidden="1">
      <c r="A100" s="11">
        <v>0.0</v>
      </c>
      <c r="B100" s="12">
        <v>0.0</v>
      </c>
      <c r="C100" s="12">
        <v>0.0</v>
      </c>
      <c r="D100" s="13">
        <f t="shared" si="1"/>
        <v>1</v>
      </c>
      <c r="E100" s="14">
        <v>100.0</v>
      </c>
      <c r="G100" s="15" t="s">
        <v>5</v>
      </c>
    </row>
  </sheetData>
  <mergeCells count="1">
    <mergeCell ref="G100:H100"/>
  </mergeCells>
  <dataValidations>
    <dataValidation type="custom" allowBlank="1" showDropDown="1" sqref="A3:C100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63"/>
    <col customWidth="1" min="3" max="3" width="12.63"/>
    <col customWidth="1" min="4" max="4" width="6.88"/>
    <col customWidth="1" min="5" max="5" width="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16">
        <f>'Efficiency Orig'!A3 * RANDBETWEEN(95, 105) / 100</f>
        <v>3033.03</v>
      </c>
      <c r="B3" s="17">
        <f>'Efficiency Orig'!B3 * RANDBETWEEN(95, 105) / 100</f>
        <v>16.261</v>
      </c>
      <c r="C3" s="17">
        <f>'Efficiency Orig'!C3 * RANDBETWEEN(95, 105) / 100</f>
        <v>0.2142</v>
      </c>
      <c r="D3" s="6">
        <f t="shared" ref="D3:D100" si="1">IF(C3&lt;=0.5, 1, IF(C3 &lt;= 0.7, 2, IF(C3 &lt;= 0.8, 3, IF(C3 &lt;= 0.9, 4, IF(C3 &lt;= 1.01, 5, NA())))))</f>
        <v>1</v>
      </c>
      <c r="E3" s="7">
        <v>1.0</v>
      </c>
    </row>
    <row r="4">
      <c r="A4" s="18">
        <f>'Efficiency Orig'!A4 * RANDBETWEEN(95, 105) / 100</f>
        <v>1576.92</v>
      </c>
      <c r="B4" s="19">
        <f>'Efficiency Orig'!B4 * RANDBETWEEN(95, 105) / 100</f>
        <v>18.236</v>
      </c>
      <c r="C4" s="19">
        <f>'Efficiency Orig'!C4 * RANDBETWEEN(95, 105) / 100</f>
        <v>0.4141</v>
      </c>
      <c r="D4" s="9">
        <f t="shared" si="1"/>
        <v>1</v>
      </c>
      <c r="E4" s="10">
        <v>1.0</v>
      </c>
    </row>
    <row r="5">
      <c r="A5" s="16">
        <f>'Efficiency Orig'!A5 * RANDBETWEEN(95, 105) / 100</f>
        <v>1180.8</v>
      </c>
      <c r="B5" s="17">
        <f>'Efficiency Orig'!B5 * RANDBETWEEN(95, 105) / 100</f>
        <v>32.24</v>
      </c>
      <c r="C5" s="17">
        <f>'Efficiency Orig'!C5 * RANDBETWEEN(95, 105) / 100</f>
        <v>0.5346</v>
      </c>
      <c r="D5" s="5">
        <f t="shared" si="1"/>
        <v>2</v>
      </c>
      <c r="E5" s="7">
        <v>1.0</v>
      </c>
    </row>
    <row r="6">
      <c r="A6" s="18">
        <f>'Efficiency Orig'!A6 * RANDBETWEEN(95, 105) / 100</f>
        <v>2371.65</v>
      </c>
      <c r="B6" s="19">
        <f>'Efficiency Orig'!B6 * RANDBETWEEN(95, 105) / 100</f>
        <v>7.644</v>
      </c>
      <c r="C6" s="19">
        <f>'Efficiency Orig'!C6 * RANDBETWEEN(95, 105) / 100</f>
        <v>0.609</v>
      </c>
      <c r="D6" s="9">
        <f t="shared" si="1"/>
        <v>2</v>
      </c>
      <c r="E6" s="10">
        <v>1.0</v>
      </c>
    </row>
    <row r="7">
      <c r="A7" s="16">
        <f>'Efficiency Orig'!A7 * RANDBETWEEN(95, 105) / 100</f>
        <v>938.29</v>
      </c>
      <c r="B7" s="17">
        <f>'Efficiency Orig'!B7 * RANDBETWEEN(95, 105) / 100</f>
        <v>31.825</v>
      </c>
      <c r="C7" s="17">
        <f>'Efficiency Orig'!C7 * RANDBETWEEN(95, 105) / 100</f>
        <v>0.59</v>
      </c>
      <c r="D7" s="5">
        <f t="shared" si="1"/>
        <v>2</v>
      </c>
      <c r="E7" s="7">
        <v>1.0</v>
      </c>
    </row>
    <row r="8">
      <c r="A8" s="18">
        <f>'Efficiency Orig'!A8 * RANDBETWEEN(95, 105) / 100</f>
        <v>1187.28</v>
      </c>
      <c r="B8" s="19">
        <f>'Efficiency Orig'!B8 * RANDBETWEEN(95, 105) / 100</f>
        <v>39.996</v>
      </c>
      <c r="C8" s="19">
        <f>'Efficiency Orig'!C8 * RANDBETWEEN(95, 105) / 100</f>
        <v>0.5795</v>
      </c>
      <c r="D8" s="9">
        <f t="shared" si="1"/>
        <v>2</v>
      </c>
      <c r="E8" s="10">
        <v>1.0</v>
      </c>
    </row>
    <row r="9">
      <c r="A9" s="16">
        <f>'Efficiency Orig'!A9 * RANDBETWEEN(95, 105) / 100</f>
        <v>1454.45</v>
      </c>
      <c r="B9" s="17">
        <f>'Efficiency Orig'!B9 * RANDBETWEEN(95, 105) / 100</f>
        <v>33.2</v>
      </c>
      <c r="C9" s="17">
        <f>'Efficiency Orig'!C9 * RANDBETWEEN(95, 105) / 100</f>
        <v>0.589</v>
      </c>
      <c r="D9" s="5">
        <f t="shared" si="1"/>
        <v>2</v>
      </c>
      <c r="E9" s="7">
        <v>1.0</v>
      </c>
    </row>
    <row r="10">
      <c r="A10" s="18">
        <f>'Efficiency Orig'!A10 * RANDBETWEEN(95, 105) / 100</f>
        <v>1908.4</v>
      </c>
      <c r="B10" s="19">
        <f>'Efficiency Orig'!B10 * RANDBETWEEN(95, 105) / 100</f>
        <v>16.059</v>
      </c>
      <c r="C10" s="19">
        <f>'Efficiency Orig'!C10 * RANDBETWEEN(95, 105) / 100</f>
        <v>0.6732</v>
      </c>
      <c r="D10" s="9">
        <f t="shared" si="1"/>
        <v>2</v>
      </c>
      <c r="E10" s="10">
        <v>1.0</v>
      </c>
    </row>
    <row r="11">
      <c r="A11" s="16">
        <f>'Efficiency Orig'!A11 * RANDBETWEEN(95, 105) / 100</f>
        <v>931.22</v>
      </c>
      <c r="B11" s="17">
        <f>'Efficiency Orig'!B11 * RANDBETWEEN(95, 105) / 100</f>
        <v>41.71</v>
      </c>
      <c r="C11" s="17">
        <f>'Efficiency Orig'!C11 * RANDBETWEEN(95, 105) / 100</f>
        <v>0.6402</v>
      </c>
      <c r="D11" s="5">
        <f t="shared" si="1"/>
        <v>2</v>
      </c>
      <c r="E11" s="7">
        <v>1.0</v>
      </c>
    </row>
    <row r="12">
      <c r="A12" s="18">
        <f>'Efficiency Orig'!A12 * RANDBETWEEN(95, 105) / 100</f>
        <v>590.4</v>
      </c>
      <c r="B12" s="19">
        <f>'Efficiency Orig'!B12 * RANDBETWEEN(95, 105) / 100</f>
        <v>49.646</v>
      </c>
      <c r="C12" s="19">
        <f>'Efficiency Orig'!C12 * RANDBETWEEN(95, 105) / 100</f>
        <v>0.6633</v>
      </c>
      <c r="D12" s="9">
        <f t="shared" si="1"/>
        <v>2</v>
      </c>
      <c r="E12" s="10">
        <v>1.0</v>
      </c>
    </row>
    <row r="13">
      <c r="A13" s="16">
        <f>'Efficiency Orig'!A13 * RANDBETWEEN(95, 105) / 100</f>
        <v>2174.64</v>
      </c>
      <c r="B13" s="17">
        <f>'Efficiency Orig'!B13 * RANDBETWEEN(95, 105) / 100</f>
        <v>13.426</v>
      </c>
      <c r="C13" s="17">
        <f>'Efficiency Orig'!C13 * RANDBETWEEN(95, 105) / 100</f>
        <v>0.693</v>
      </c>
      <c r="D13" s="5">
        <f t="shared" si="1"/>
        <v>2</v>
      </c>
      <c r="E13" s="7">
        <v>1.0</v>
      </c>
    </row>
    <row r="14">
      <c r="A14" s="18">
        <f>'Efficiency Orig'!A14 * RANDBETWEEN(95, 105) / 100</f>
        <v>2469.45</v>
      </c>
      <c r="B14" s="19">
        <f>'Efficiency Orig'!B14 * RANDBETWEEN(95, 105) / 100</f>
        <v>11.564</v>
      </c>
      <c r="C14" s="19">
        <f>'Efficiency Orig'!C14 * RANDBETWEEN(95, 105) / 100</f>
        <v>0.6887</v>
      </c>
      <c r="D14" s="9">
        <f t="shared" si="1"/>
        <v>2</v>
      </c>
      <c r="E14" s="10">
        <v>1.0</v>
      </c>
    </row>
    <row r="15">
      <c r="A15" s="16">
        <f>'Efficiency Orig'!A15 * RANDBETWEEN(95, 105) / 100</f>
        <v>1432.6</v>
      </c>
      <c r="B15" s="17">
        <f>'Efficiency Orig'!B15 * RANDBETWEEN(95, 105) / 100</f>
        <v>58.479</v>
      </c>
      <c r="C15" s="17">
        <f>'Efficiency Orig'!C15 * RANDBETWEEN(95, 105) / 100</f>
        <v>0.6984</v>
      </c>
      <c r="D15" s="5">
        <f t="shared" si="1"/>
        <v>2</v>
      </c>
      <c r="E15" s="7">
        <v>1.0</v>
      </c>
    </row>
    <row r="16">
      <c r="A16" s="18">
        <f>'Efficiency Orig'!A16 * RANDBETWEEN(95, 105) / 100</f>
        <v>931.26</v>
      </c>
      <c r="B16" s="19">
        <f>'Efficiency Orig'!B16 * RANDBETWEEN(95, 105) / 100</f>
        <v>53.55</v>
      </c>
      <c r="C16" s="19">
        <f>'Efficiency Orig'!C16 * RANDBETWEEN(95, 105) / 100</f>
        <v>0.7592</v>
      </c>
      <c r="D16" s="9">
        <f t="shared" si="1"/>
        <v>3</v>
      </c>
      <c r="E16" s="10">
        <v>1.0</v>
      </c>
    </row>
    <row r="17">
      <c r="A17" s="16">
        <f>'Efficiency Orig'!A17 * RANDBETWEEN(95, 105) / 100</f>
        <v>1172.08</v>
      </c>
      <c r="B17" s="17">
        <f>'Efficiency Orig'!B17 * RANDBETWEEN(95, 105) / 100</f>
        <v>114.845</v>
      </c>
      <c r="C17" s="17">
        <f>'Efficiency Orig'!C17 * RANDBETWEEN(95, 105) / 100</f>
        <v>0.7373</v>
      </c>
      <c r="D17" s="5">
        <f t="shared" si="1"/>
        <v>3</v>
      </c>
      <c r="E17" s="7">
        <v>1.0</v>
      </c>
    </row>
    <row r="18">
      <c r="A18" s="18">
        <f>'Efficiency Orig'!A18 * RANDBETWEEN(95, 105) / 100</f>
        <v>1543.26</v>
      </c>
      <c r="B18" s="19">
        <f>'Efficiency Orig'!B18 * RANDBETWEEN(95, 105) / 100</f>
        <v>46.746</v>
      </c>
      <c r="C18" s="19">
        <f>'Efficiency Orig'!C18 * RANDBETWEEN(95, 105) / 100</f>
        <v>0.7548</v>
      </c>
      <c r="D18" s="9">
        <f t="shared" si="1"/>
        <v>3</v>
      </c>
      <c r="E18" s="10">
        <v>1.0</v>
      </c>
    </row>
    <row r="19">
      <c r="A19" s="16">
        <f>'Efficiency Orig'!A19 * RANDBETWEEN(95, 105) / 100</f>
        <v>1901.12</v>
      </c>
      <c r="B19" s="17">
        <f>'Efficiency Orig'!B19 * RANDBETWEEN(95, 105) / 100</f>
        <v>26.967</v>
      </c>
      <c r="C19" s="17">
        <f>'Efficiency Orig'!C19 * RANDBETWEEN(95, 105) / 100</f>
        <v>0.7752</v>
      </c>
      <c r="D19" s="5">
        <f t="shared" si="1"/>
        <v>3</v>
      </c>
      <c r="E19" s="7">
        <v>1.0</v>
      </c>
    </row>
    <row r="20">
      <c r="A20" s="18">
        <f>'Efficiency Orig'!A20 * RANDBETWEEN(95, 105) / 100</f>
        <v>4340.1</v>
      </c>
      <c r="B20" s="19">
        <f>'Efficiency Orig'!B20 * RANDBETWEEN(95, 105) / 100</f>
        <v>2.4</v>
      </c>
      <c r="C20" s="19">
        <f>'Efficiency Orig'!C20 * RANDBETWEEN(95, 105) / 100</f>
        <v>0.7546</v>
      </c>
      <c r="D20" s="9">
        <f t="shared" si="1"/>
        <v>3</v>
      </c>
      <c r="E20" s="10">
        <v>1.0</v>
      </c>
    </row>
    <row r="21">
      <c r="A21" s="16">
        <f>'Efficiency Orig'!A21 * RANDBETWEEN(95, 105) / 100</f>
        <v>2657.8</v>
      </c>
      <c r="B21" s="17">
        <f>'Efficiency Orig'!B21 * RANDBETWEEN(95, 105) / 100</f>
        <v>11.526</v>
      </c>
      <c r="C21" s="17">
        <f>'Efficiency Orig'!C21 * RANDBETWEEN(95, 105) / 100</f>
        <v>0.8034</v>
      </c>
      <c r="D21" s="5">
        <f t="shared" si="1"/>
        <v>4</v>
      </c>
      <c r="E21" s="7">
        <v>1.0</v>
      </c>
    </row>
    <row r="22">
      <c r="A22" s="18">
        <f>'Efficiency Orig'!A22 * RANDBETWEEN(95, 105) / 100</f>
        <v>865.92</v>
      </c>
      <c r="B22" s="19">
        <f>'Efficiency Orig'!B22 * RANDBETWEEN(95, 105) / 100</f>
        <v>61.824</v>
      </c>
      <c r="C22" s="19">
        <f>'Efficiency Orig'!C22 * RANDBETWEEN(95, 105) / 100</f>
        <v>0.76</v>
      </c>
      <c r="D22" s="9">
        <f t="shared" si="1"/>
        <v>3</v>
      </c>
      <c r="E22" s="10">
        <v>1.0</v>
      </c>
    </row>
    <row r="23">
      <c r="A23" s="16">
        <f>'Efficiency Orig'!A23 * RANDBETWEEN(95, 105) / 100</f>
        <v>2089.36</v>
      </c>
      <c r="B23" s="17">
        <f>'Efficiency Orig'!B23 * RANDBETWEEN(95, 105) / 100</f>
        <v>21.565</v>
      </c>
      <c r="C23" s="17">
        <f>'Efficiency Orig'!C23 * RANDBETWEEN(95, 105) / 100</f>
        <v>0.8282</v>
      </c>
      <c r="D23" s="5">
        <f t="shared" si="1"/>
        <v>4</v>
      </c>
      <c r="E23" s="7">
        <v>1.0</v>
      </c>
    </row>
    <row r="24">
      <c r="A24" s="18">
        <f>'Efficiency Orig'!A24 * RANDBETWEEN(95, 105) / 100</f>
        <v>4008.05</v>
      </c>
      <c r="B24" s="19">
        <f>'Efficiency Orig'!B24 * RANDBETWEEN(95, 105) / 100</f>
        <v>6.798</v>
      </c>
      <c r="C24" s="19">
        <f>'Efficiency Orig'!C24 * RANDBETWEEN(95, 105) / 100</f>
        <v>0.8715</v>
      </c>
      <c r="D24" s="9">
        <f t="shared" si="1"/>
        <v>4</v>
      </c>
      <c r="E24" s="10">
        <v>1.0</v>
      </c>
    </row>
    <row r="25">
      <c r="A25" s="16">
        <f>'Efficiency Orig'!A25 * RANDBETWEEN(95, 105) / 100</f>
        <v>1784.58</v>
      </c>
      <c r="B25" s="17">
        <f>'Efficiency Orig'!B25 * RANDBETWEEN(95, 105) / 100</f>
        <v>37.3</v>
      </c>
      <c r="C25" s="17">
        <f>'Efficiency Orig'!C25 * RANDBETWEEN(95, 105) / 100</f>
        <v>0.8715</v>
      </c>
      <c r="D25" s="5">
        <f t="shared" si="1"/>
        <v>4</v>
      </c>
      <c r="E25" s="7">
        <v>1.0</v>
      </c>
    </row>
    <row r="26">
      <c r="A26" s="18">
        <f>'Efficiency Orig'!A26 * RANDBETWEEN(95, 105) / 100</f>
        <v>1151.4</v>
      </c>
      <c r="B26" s="19">
        <f>'Efficiency Orig'!B26 * RANDBETWEEN(95, 105) / 100</f>
        <v>54.782</v>
      </c>
      <c r="C26" s="19">
        <f>'Efficiency Orig'!C26 * RANDBETWEEN(95, 105) / 100</f>
        <v>0.8134</v>
      </c>
      <c r="D26" s="9">
        <f t="shared" si="1"/>
        <v>4</v>
      </c>
      <c r="E26" s="10">
        <v>1.0</v>
      </c>
    </row>
    <row r="27">
      <c r="A27" s="16">
        <f>'Efficiency Orig'!A27 * RANDBETWEEN(95, 105) / 100</f>
        <v>2979.2</v>
      </c>
      <c r="B27" s="17">
        <f>'Efficiency Orig'!B27 * RANDBETWEEN(95, 105) / 100</f>
        <v>9.506</v>
      </c>
      <c r="C27" s="17">
        <f>'Efficiency Orig'!C27 * RANDBETWEEN(95, 105) / 100</f>
        <v>0.8736</v>
      </c>
      <c r="D27" s="5">
        <f t="shared" si="1"/>
        <v>4</v>
      </c>
      <c r="E27" s="7">
        <v>1.0</v>
      </c>
    </row>
    <row r="28">
      <c r="A28" s="18">
        <f>'Efficiency Orig'!A28 * RANDBETWEEN(95, 105) / 100</f>
        <v>2542.05</v>
      </c>
      <c r="B28" s="19">
        <f>'Efficiency Orig'!B28 * RANDBETWEEN(95, 105) / 100</f>
        <v>19.285</v>
      </c>
      <c r="C28" s="19">
        <f>'Efficiency Orig'!C28 * RANDBETWEEN(95, 105) / 100</f>
        <v>0.8568</v>
      </c>
      <c r="D28" s="9">
        <f t="shared" si="1"/>
        <v>4</v>
      </c>
      <c r="E28" s="10">
        <v>1.0</v>
      </c>
    </row>
    <row r="29">
      <c r="A29" s="16">
        <f>'Efficiency Orig'!A29 * RANDBETWEEN(95, 105) / 100</f>
        <v>1830.9</v>
      </c>
      <c r="B29" s="17">
        <f>'Efficiency Orig'!B29 * RANDBETWEEN(95, 105) / 100</f>
        <v>48.609</v>
      </c>
      <c r="C29" s="17">
        <f>'Efficiency Orig'!C29 * RANDBETWEEN(95, 105) / 100</f>
        <v>0.882</v>
      </c>
      <c r="D29" s="5">
        <f t="shared" si="1"/>
        <v>4</v>
      </c>
      <c r="E29" s="7">
        <v>1.0</v>
      </c>
    </row>
    <row r="30">
      <c r="A30" s="18">
        <f>'Efficiency Orig'!A30 * RANDBETWEEN(95, 105) / 100</f>
        <v>4204.46</v>
      </c>
      <c r="B30" s="19">
        <f>'Efficiency Orig'!B30 * RANDBETWEEN(95, 105) / 100</f>
        <v>22.932</v>
      </c>
      <c r="C30" s="19">
        <f>'Efficiency Orig'!C30 * RANDBETWEEN(95, 105) / 100</f>
        <v>0.8925</v>
      </c>
      <c r="D30" s="9">
        <f t="shared" si="1"/>
        <v>4</v>
      </c>
      <c r="E30" s="10">
        <v>1.0</v>
      </c>
    </row>
    <row r="31">
      <c r="A31" s="16">
        <f>'Efficiency Orig'!A31 * RANDBETWEEN(95, 105) / 100</f>
        <v>3672.36</v>
      </c>
      <c r="B31" s="17">
        <f>'Efficiency Orig'!B31 * RANDBETWEEN(95, 105) / 100</f>
        <v>8.137</v>
      </c>
      <c r="C31" s="17">
        <f>'Efficiency Orig'!C31 * RANDBETWEEN(95, 105) / 100</f>
        <v>0.903</v>
      </c>
      <c r="D31" s="5">
        <f t="shared" si="1"/>
        <v>5</v>
      </c>
      <c r="E31" s="7">
        <v>1.0</v>
      </c>
    </row>
    <row r="32">
      <c r="A32" s="18">
        <f>'Efficiency Orig'!A32 * RANDBETWEEN(95, 105) / 100</f>
        <v>1999.75</v>
      </c>
      <c r="B32" s="19">
        <f>'Efficiency Orig'!B32 * RANDBETWEEN(95, 105) / 100</f>
        <v>32.232</v>
      </c>
      <c r="C32" s="19">
        <f>'Efficiency Orig'!C32 * RANDBETWEEN(95, 105) / 100</f>
        <v>0.8342</v>
      </c>
      <c r="D32" s="9">
        <f t="shared" si="1"/>
        <v>4</v>
      </c>
      <c r="E32" s="10">
        <v>1.0</v>
      </c>
    </row>
    <row r="33">
      <c r="A33" s="16">
        <f>'Efficiency Orig'!A33 * RANDBETWEEN(95, 105) / 100</f>
        <v>2588.75</v>
      </c>
      <c r="B33" s="17">
        <f>'Efficiency Orig'!B33 * RANDBETWEEN(95, 105) / 100</f>
        <v>18.025</v>
      </c>
      <c r="C33" s="17">
        <f>'Efficiency Orig'!C33 * RANDBETWEEN(95, 105) / 100</f>
        <v>0.9135</v>
      </c>
      <c r="D33" s="5">
        <f t="shared" si="1"/>
        <v>5</v>
      </c>
      <c r="E33" s="7">
        <v>1.0</v>
      </c>
    </row>
    <row r="34">
      <c r="A34" s="18">
        <f>'Efficiency Orig'!A34 * RANDBETWEEN(95, 105) / 100</f>
        <v>2641.1</v>
      </c>
      <c r="B34" s="19">
        <f>'Efficiency Orig'!B34 * RANDBETWEEN(95, 105) / 100</f>
        <v>29.848</v>
      </c>
      <c r="C34" s="19">
        <f>'Efficiency Orig'!C34 * RANDBETWEEN(95, 105) / 100</f>
        <v>0.8787</v>
      </c>
      <c r="D34" s="9">
        <f t="shared" si="1"/>
        <v>4</v>
      </c>
      <c r="E34" s="10">
        <v>1.0</v>
      </c>
    </row>
    <row r="35">
      <c r="A35" s="16">
        <f>'Efficiency Orig'!A35 * RANDBETWEEN(95, 105) / 100</f>
        <v>2635.68</v>
      </c>
      <c r="B35" s="17">
        <f>'Efficiency Orig'!B35 * RANDBETWEEN(95, 105) / 100</f>
        <v>54.915</v>
      </c>
      <c r="C35" s="17">
        <f>'Efficiency Orig'!C35 * RANDBETWEEN(95, 105) / 100</f>
        <v>0.8613</v>
      </c>
      <c r="D35" s="5">
        <f t="shared" si="1"/>
        <v>4</v>
      </c>
      <c r="E35" s="7">
        <v>1.0</v>
      </c>
    </row>
    <row r="36">
      <c r="A36" s="18">
        <f>'Efficiency Orig'!A36 * RANDBETWEEN(95, 105) / 100</f>
        <v>2713.2</v>
      </c>
      <c r="B36" s="19">
        <f>'Efficiency Orig'!B36 * RANDBETWEEN(95, 105) / 100</f>
        <v>55.65</v>
      </c>
      <c r="C36" s="19">
        <f>'Efficiency Orig'!C36 * RANDBETWEEN(95, 105) / 100</f>
        <v>0.8439</v>
      </c>
      <c r="D36" s="9">
        <f t="shared" si="1"/>
        <v>4</v>
      </c>
      <c r="E36" s="10">
        <v>1.0</v>
      </c>
    </row>
    <row r="37">
      <c r="A37" s="16">
        <f>'Efficiency Orig'!A37 * RANDBETWEEN(95, 105) / 100</f>
        <v>1812.95</v>
      </c>
      <c r="B37" s="17">
        <f>'Efficiency Orig'!B37 * RANDBETWEEN(95, 105) / 100</f>
        <v>52.38</v>
      </c>
      <c r="C37" s="17">
        <f>'Efficiency Orig'!C37 * RANDBETWEEN(95, 105) / 100</f>
        <v>0.8613</v>
      </c>
      <c r="D37" s="5">
        <f t="shared" si="1"/>
        <v>4</v>
      </c>
      <c r="E37" s="7">
        <v>1.0</v>
      </c>
    </row>
    <row r="38">
      <c r="A38" s="18">
        <f>'Efficiency Orig'!A38 * RANDBETWEEN(95, 105) / 100</f>
        <v>4212.45</v>
      </c>
      <c r="B38" s="19">
        <f>'Efficiency Orig'!B38 * RANDBETWEEN(95, 105) / 100</f>
        <v>5.2</v>
      </c>
      <c r="C38" s="19">
        <f>'Efficiency Orig'!C38 * RANDBETWEEN(95, 105) / 100</f>
        <v>0.8624</v>
      </c>
      <c r="D38" s="9">
        <f t="shared" si="1"/>
        <v>4</v>
      </c>
      <c r="E38" s="10">
        <v>1.0</v>
      </c>
    </row>
    <row r="39">
      <c r="A39" s="16">
        <f>'Efficiency Orig'!A39 * RANDBETWEEN(95, 105) / 100</f>
        <v>4382.65</v>
      </c>
      <c r="B39" s="17">
        <f>'Efficiency Orig'!B39 * RANDBETWEEN(95, 105) / 100</f>
        <v>9.31</v>
      </c>
      <c r="C39" s="17">
        <f>'Efficiency Orig'!C39 * RANDBETWEEN(95, 105) / 100</f>
        <v>0.88</v>
      </c>
      <c r="D39" s="5">
        <f t="shared" si="1"/>
        <v>4</v>
      </c>
      <c r="E39" s="7">
        <v>1.0</v>
      </c>
    </row>
    <row r="40">
      <c r="A40" s="18">
        <f>'Efficiency Orig'!A40 * RANDBETWEEN(95, 105) / 100</f>
        <v>4066.02</v>
      </c>
      <c r="B40" s="19">
        <f>'Efficiency Orig'!B40 * RANDBETWEEN(95, 105) / 100</f>
        <v>20.79</v>
      </c>
      <c r="C40" s="19">
        <f>'Efficiency Orig'!C40 * RANDBETWEEN(95, 105) / 100</f>
        <v>0.9064</v>
      </c>
      <c r="D40" s="9">
        <f t="shared" si="1"/>
        <v>5</v>
      </c>
      <c r="E40" s="10">
        <v>1.0</v>
      </c>
    </row>
    <row r="41">
      <c r="A41" s="16">
        <f>'Efficiency Orig'!A41 * RANDBETWEEN(95, 105) / 100</f>
        <v>3357.3</v>
      </c>
      <c r="B41" s="17">
        <f>'Efficiency Orig'!B41 * RANDBETWEEN(95, 105) / 100</f>
        <v>25.792</v>
      </c>
      <c r="C41" s="17">
        <f>'Efficiency Orig'!C41 * RANDBETWEEN(95, 105) / 100</f>
        <v>0.8448</v>
      </c>
      <c r="D41" s="5">
        <f t="shared" si="1"/>
        <v>4</v>
      </c>
      <c r="E41" s="7">
        <v>1.0</v>
      </c>
    </row>
    <row r="42">
      <c r="A42" s="18">
        <f>'Efficiency Orig'!A42 * RANDBETWEEN(95, 105) / 100</f>
        <v>3498.66</v>
      </c>
      <c r="B42" s="19">
        <f>'Efficiency Orig'!B42 * RANDBETWEEN(95, 105) / 100</f>
        <v>25.745</v>
      </c>
      <c r="C42" s="19">
        <f>'Efficiency Orig'!C42 * RANDBETWEEN(95, 105) / 100</f>
        <v>0.8976</v>
      </c>
      <c r="D42" s="9">
        <f t="shared" si="1"/>
        <v>4</v>
      </c>
      <c r="E42" s="10">
        <v>1.0</v>
      </c>
    </row>
    <row r="43">
      <c r="A43" s="16">
        <f>'Efficiency Orig'!A43 * RANDBETWEEN(95, 105) / 100</f>
        <v>2209.66</v>
      </c>
      <c r="B43" s="17">
        <f>'Efficiency Orig'!B43 * RANDBETWEEN(95, 105) / 100</f>
        <v>67.3</v>
      </c>
      <c r="C43" s="17">
        <f>'Efficiency Orig'!C43 * RANDBETWEEN(95, 105) / 100</f>
        <v>0.8448</v>
      </c>
      <c r="D43" s="5">
        <f t="shared" si="1"/>
        <v>4</v>
      </c>
      <c r="E43" s="7">
        <v>1.0</v>
      </c>
    </row>
    <row r="44">
      <c r="A44" s="18">
        <f>'Efficiency Orig'!A44 * RANDBETWEEN(95, 105) / 100</f>
        <v>4184</v>
      </c>
      <c r="B44" s="19">
        <f>'Efficiency Orig'!B44 * RANDBETWEEN(95, 105) / 100</f>
        <v>14.7</v>
      </c>
      <c r="C44" s="19">
        <f>'Efficiency Orig'!C44 * RANDBETWEEN(95, 105) / 100</f>
        <v>0.8633</v>
      </c>
      <c r="D44" s="9">
        <f t="shared" si="1"/>
        <v>4</v>
      </c>
      <c r="E44" s="10">
        <v>1.0</v>
      </c>
    </row>
    <row r="45">
      <c r="A45" s="16">
        <f>'Efficiency Orig'!A45 * RANDBETWEEN(95, 105) / 100</f>
        <v>2655.8</v>
      </c>
      <c r="B45" s="17">
        <f>'Efficiency Orig'!B45 * RANDBETWEEN(95, 105) / 100</f>
        <v>24.347</v>
      </c>
      <c r="C45" s="17">
        <f>'Efficiency Orig'!C45 * RANDBETWEEN(95, 105) / 100</f>
        <v>0.9167</v>
      </c>
      <c r="D45" s="5">
        <f t="shared" si="1"/>
        <v>5</v>
      </c>
      <c r="E45" s="7">
        <v>1.0</v>
      </c>
    </row>
    <row r="46">
      <c r="A46" s="18">
        <f>'Efficiency Orig'!A46 * RANDBETWEEN(95, 105) / 100</f>
        <v>2020.8</v>
      </c>
      <c r="B46" s="19">
        <f>'Efficiency Orig'!B46 * RANDBETWEEN(95, 105) / 100</f>
        <v>36.135</v>
      </c>
      <c r="C46" s="19">
        <f>'Efficiency Orig'!C46 * RANDBETWEEN(95, 105) / 100</f>
        <v>0.9167</v>
      </c>
      <c r="D46" s="9">
        <f t="shared" si="1"/>
        <v>5</v>
      </c>
      <c r="E46" s="10">
        <v>1.0</v>
      </c>
    </row>
    <row r="47">
      <c r="A47" s="16">
        <f>'Efficiency Orig'!A47 * RANDBETWEEN(95, 105) / 100</f>
        <v>1242.8</v>
      </c>
      <c r="B47" s="17">
        <f>'Efficiency Orig'!B47 * RANDBETWEEN(95, 105) / 100</f>
        <v>72.72</v>
      </c>
      <c r="C47" s="17">
        <f>'Efficiency Orig'!C47 * RANDBETWEEN(95, 105) / 100</f>
        <v>0.8811</v>
      </c>
      <c r="D47" s="5">
        <f t="shared" si="1"/>
        <v>4</v>
      </c>
      <c r="E47" s="7">
        <v>1.0</v>
      </c>
    </row>
    <row r="48">
      <c r="A48" s="18">
        <f>'Efficiency Orig'!A48 * RANDBETWEEN(95, 105) / 100</f>
        <v>2942.94</v>
      </c>
      <c r="B48" s="19">
        <f>'Efficiency Orig'!B48 * RANDBETWEEN(95, 105) / 100</f>
        <v>25.245</v>
      </c>
      <c r="C48" s="19">
        <f>'Efficiency Orig'!C48 * RANDBETWEEN(95, 105) / 100</f>
        <v>0.891</v>
      </c>
      <c r="D48" s="9">
        <f t="shared" si="1"/>
        <v>4</v>
      </c>
      <c r="E48" s="10">
        <v>1.0</v>
      </c>
    </row>
    <row r="49">
      <c r="A49" s="16">
        <f>'Efficiency Orig'!A49 * RANDBETWEEN(95, 105) / 100</f>
        <v>3403.73</v>
      </c>
      <c r="B49" s="17">
        <f>'Efficiency Orig'!B49 * RANDBETWEEN(95, 105) / 100</f>
        <v>29.682</v>
      </c>
      <c r="C49" s="17">
        <f>'Efficiency Orig'!C49 * RANDBETWEEN(95, 105) / 100</f>
        <v>0.9</v>
      </c>
      <c r="D49" s="5">
        <f t="shared" si="1"/>
        <v>4</v>
      </c>
      <c r="E49" s="7">
        <v>1.0</v>
      </c>
    </row>
    <row r="50">
      <c r="A50" s="18">
        <f>'Efficiency Orig'!A50 * RANDBETWEEN(95, 105) / 100</f>
        <v>3050.32</v>
      </c>
      <c r="B50" s="19">
        <f>'Efficiency Orig'!B50 * RANDBETWEEN(95, 105) / 100</f>
        <v>40.392</v>
      </c>
      <c r="C50" s="19">
        <f>'Efficiency Orig'!C50 * RANDBETWEEN(95, 105) / 100</f>
        <v>0.864</v>
      </c>
      <c r="D50" s="9">
        <f t="shared" si="1"/>
        <v>4</v>
      </c>
      <c r="E50" s="10">
        <v>1.0</v>
      </c>
    </row>
    <row r="51">
      <c r="A51" s="16">
        <f>'Efficiency Orig'!A51 * RANDBETWEEN(95, 105) / 100</f>
        <v>2340.36</v>
      </c>
      <c r="B51" s="17">
        <f>'Efficiency Orig'!B51 * RANDBETWEEN(95, 105) / 100</f>
        <v>45.696</v>
      </c>
      <c r="C51" s="17">
        <f>'Efficiency Orig'!C51 * RANDBETWEEN(95, 105) / 100</f>
        <v>0.9</v>
      </c>
      <c r="D51" s="5">
        <f t="shared" si="1"/>
        <v>4</v>
      </c>
      <c r="E51" s="7">
        <v>1.0</v>
      </c>
    </row>
    <row r="52">
      <c r="A52" s="18">
        <f>'Efficiency Orig'!A52 * RANDBETWEEN(95, 105) / 100</f>
        <v>2558.78</v>
      </c>
      <c r="B52" s="19">
        <f>'Efficiency Orig'!B52 * RANDBETWEEN(95, 105) / 100</f>
        <v>49.646</v>
      </c>
      <c r="C52" s="19">
        <f>'Efficiency Orig'!C52 * RANDBETWEEN(95, 105) / 100</f>
        <v>0.882</v>
      </c>
      <c r="D52" s="9">
        <f t="shared" si="1"/>
        <v>4</v>
      </c>
      <c r="E52" s="10">
        <v>1.0</v>
      </c>
    </row>
    <row r="53">
      <c r="A53" s="16">
        <f>'Efficiency Orig'!A53 * RANDBETWEEN(95, 105) / 100</f>
        <v>1711.68</v>
      </c>
      <c r="B53" s="17">
        <f>'Efficiency Orig'!B53 * RANDBETWEEN(95, 105) / 100</f>
        <v>68.145</v>
      </c>
      <c r="C53" s="17">
        <f>'Efficiency Orig'!C53 * RANDBETWEEN(95, 105) / 100</f>
        <v>0.855</v>
      </c>
      <c r="D53" s="5">
        <f t="shared" si="1"/>
        <v>4</v>
      </c>
      <c r="E53" s="7">
        <v>1.0</v>
      </c>
    </row>
    <row r="54">
      <c r="A54" s="18">
        <f>'Efficiency Orig'!A54 * RANDBETWEEN(95, 105) / 100</f>
        <v>851.52</v>
      </c>
      <c r="B54" s="19">
        <f>'Efficiency Orig'!B54 * RANDBETWEEN(95, 105) / 100</f>
        <v>79.144</v>
      </c>
      <c r="C54" s="19">
        <f>'Efficiency Orig'!C54 * RANDBETWEEN(95, 105) / 100</f>
        <v>0.882</v>
      </c>
      <c r="D54" s="9">
        <f t="shared" si="1"/>
        <v>4</v>
      </c>
      <c r="E54" s="10">
        <v>1.0</v>
      </c>
    </row>
    <row r="55">
      <c r="A55" s="16">
        <f>'Efficiency Orig'!A55 * RANDBETWEEN(95, 105) / 100</f>
        <v>1426.56</v>
      </c>
      <c r="B55" s="17">
        <f>'Efficiency Orig'!B55 * RANDBETWEEN(95, 105) / 100</f>
        <v>81.224</v>
      </c>
      <c r="C55" s="17">
        <f>'Efficiency Orig'!C55 * RANDBETWEEN(95, 105) / 100</f>
        <v>0.873</v>
      </c>
      <c r="D55" s="5">
        <f t="shared" si="1"/>
        <v>4</v>
      </c>
      <c r="E55" s="7">
        <v>1.0</v>
      </c>
    </row>
    <row r="56">
      <c r="A56" s="18">
        <f>'Efficiency Orig'!A56 * RANDBETWEEN(95, 105) / 100</f>
        <v>1447.46</v>
      </c>
      <c r="B56" s="19">
        <f>'Efficiency Orig'!B56 * RANDBETWEEN(95, 105) / 100</f>
        <v>84.39</v>
      </c>
      <c r="C56" s="19">
        <f>'Efficiency Orig'!C56 * RANDBETWEEN(95, 105) / 100</f>
        <v>0.855</v>
      </c>
      <c r="D56" s="9">
        <f t="shared" si="1"/>
        <v>4</v>
      </c>
      <c r="E56" s="10">
        <v>1.0</v>
      </c>
    </row>
    <row r="57">
      <c r="A57" s="16">
        <f>'Efficiency Orig'!A57 * RANDBETWEEN(95, 105) / 100</f>
        <v>1692.46</v>
      </c>
      <c r="B57" s="17">
        <f>'Efficiency Orig'!B57 * RANDBETWEEN(95, 105) / 100</f>
        <v>88.375</v>
      </c>
      <c r="C57" s="17">
        <f>'Efficiency Orig'!C57 * RANDBETWEEN(95, 105) / 100</f>
        <v>0.945</v>
      </c>
      <c r="D57" s="5">
        <f t="shared" si="1"/>
        <v>5</v>
      </c>
      <c r="E57" s="7">
        <v>1.0</v>
      </c>
    </row>
    <row r="58">
      <c r="A58" s="18">
        <f>'Efficiency Orig'!A58 * RANDBETWEEN(95, 105) / 100</f>
        <v>1139.49</v>
      </c>
      <c r="B58" s="19">
        <f>'Efficiency Orig'!B58 * RANDBETWEEN(95, 105) / 100</f>
        <v>97.66</v>
      </c>
      <c r="C58" s="19">
        <f>'Efficiency Orig'!C58 * RANDBETWEEN(95, 105) / 100</f>
        <v>0.855</v>
      </c>
      <c r="D58" s="9">
        <f t="shared" si="1"/>
        <v>4</v>
      </c>
      <c r="E58" s="10">
        <v>1.0</v>
      </c>
    </row>
    <row r="59">
      <c r="A59" s="16">
        <f>'Efficiency Orig'!A59 * RANDBETWEEN(95, 105) / 100</f>
        <v>2385.9</v>
      </c>
      <c r="B59" s="17">
        <f>'Efficiency Orig'!B59 * RANDBETWEEN(95, 105) / 100</f>
        <v>28.116</v>
      </c>
      <c r="C59" s="17">
        <f>'Efficiency Orig'!C59 * RANDBETWEEN(95, 105) / 100</f>
        <v>0.8736</v>
      </c>
      <c r="D59" s="5">
        <f t="shared" si="1"/>
        <v>4</v>
      </c>
      <c r="E59" s="7">
        <v>1.0</v>
      </c>
    </row>
    <row r="60">
      <c r="A60" s="18">
        <f>'Efficiency Orig'!A60 * RANDBETWEEN(95, 105) / 100</f>
        <v>1510.62</v>
      </c>
      <c r="B60" s="19">
        <f>'Efficiency Orig'!B60 * RANDBETWEEN(95, 105) / 100</f>
        <v>88.83</v>
      </c>
      <c r="C60" s="19">
        <f>'Efficiency Orig'!C60 * RANDBETWEEN(95, 105) / 100</f>
        <v>0.9373</v>
      </c>
      <c r="D60" s="9">
        <f t="shared" si="1"/>
        <v>5</v>
      </c>
      <c r="E60" s="10">
        <v>1.0</v>
      </c>
    </row>
    <row r="61">
      <c r="A61" s="16">
        <f>'Efficiency Orig'!A61 * RANDBETWEEN(95, 105) / 100</f>
        <v>3754.4</v>
      </c>
      <c r="B61" s="17">
        <f>'Efficiency Orig'!B61 * RANDBETWEEN(95, 105) / 100</f>
        <v>13.534</v>
      </c>
      <c r="C61" s="17">
        <f>'Efficiency Orig'!C61 * RANDBETWEEN(95, 105) / 100</f>
        <v>0.966</v>
      </c>
      <c r="D61" s="5">
        <f t="shared" si="1"/>
        <v>5</v>
      </c>
      <c r="E61" s="7">
        <v>1.0</v>
      </c>
    </row>
    <row r="62">
      <c r="A62" s="18">
        <f>'Efficiency Orig'!A62 * RANDBETWEEN(95, 105) / 100</f>
        <v>2517.9</v>
      </c>
      <c r="B62" s="19">
        <f>'Efficiency Orig'!B62 * RANDBETWEEN(95, 105) / 100</f>
        <v>38.325</v>
      </c>
      <c r="C62" s="19">
        <f>'Efficiency Orig'!C62 * RANDBETWEEN(95, 105) / 100</f>
        <v>0.9292</v>
      </c>
      <c r="D62" s="9">
        <f t="shared" si="1"/>
        <v>5</v>
      </c>
      <c r="E62" s="10">
        <v>1.0</v>
      </c>
    </row>
    <row r="63">
      <c r="A63" s="16">
        <f>'Efficiency Orig'!A63 * RANDBETWEEN(95, 105) / 100</f>
        <v>2256.25</v>
      </c>
      <c r="B63" s="17">
        <f>'Efficiency Orig'!B63 * RANDBETWEEN(95, 105) / 100</f>
        <v>41.5</v>
      </c>
      <c r="C63" s="17">
        <f>'Efficiency Orig'!C63 * RANDBETWEEN(95, 105) / 100</f>
        <v>0.9476</v>
      </c>
      <c r="D63" s="5">
        <f t="shared" si="1"/>
        <v>5</v>
      </c>
      <c r="E63" s="7">
        <v>1.0</v>
      </c>
    </row>
    <row r="64">
      <c r="A64" s="18">
        <f>'Efficiency Orig'!A64 * RANDBETWEEN(95, 105) / 100</f>
        <v>3014.96</v>
      </c>
      <c r="B64" s="19">
        <f>'Efficiency Orig'!B64 * RANDBETWEEN(95, 105) / 100</f>
        <v>43.316</v>
      </c>
      <c r="C64" s="19">
        <f>'Efficiency Orig'!C64 * RANDBETWEEN(95, 105) / 100</f>
        <v>0.9568</v>
      </c>
      <c r="D64" s="9">
        <f t="shared" si="1"/>
        <v>5</v>
      </c>
      <c r="E64" s="10">
        <v>1.0</v>
      </c>
    </row>
    <row r="65">
      <c r="A65" s="16">
        <f>'Efficiency Orig'!A65 * RANDBETWEEN(95, 105) / 100</f>
        <v>2230.08</v>
      </c>
      <c r="B65" s="17">
        <f>'Efficiency Orig'!B65 * RANDBETWEEN(95, 105) / 100</f>
        <v>54.6</v>
      </c>
      <c r="C65" s="17">
        <f>'Efficiency Orig'!C65 * RANDBETWEEN(95, 105) / 100</f>
        <v>0.8924</v>
      </c>
      <c r="D65" s="5">
        <f t="shared" si="1"/>
        <v>4</v>
      </c>
      <c r="E65" s="7">
        <v>1.0</v>
      </c>
    </row>
    <row r="66">
      <c r="A66" s="18">
        <f>'Efficiency Orig'!A66 * RANDBETWEEN(95, 105) / 100</f>
        <v>2045</v>
      </c>
      <c r="B66" s="19">
        <f>'Efficiency Orig'!B66 * RANDBETWEEN(95, 105) / 100</f>
        <v>69.056</v>
      </c>
      <c r="C66" s="19">
        <f>'Efficiency Orig'!C66 * RANDBETWEEN(95, 105) / 100</f>
        <v>0.966</v>
      </c>
      <c r="D66" s="9">
        <f t="shared" si="1"/>
        <v>5</v>
      </c>
      <c r="E66" s="10">
        <v>1.0</v>
      </c>
    </row>
    <row r="67">
      <c r="A67" s="16">
        <f>'Efficiency Orig'!A67 * RANDBETWEEN(95, 105) / 100</f>
        <v>1443.84</v>
      </c>
      <c r="B67" s="17">
        <f>'Efficiency Orig'!B67 * RANDBETWEEN(95, 105) / 100</f>
        <v>65.28</v>
      </c>
      <c r="C67" s="17">
        <f>'Efficiency Orig'!C67 * RANDBETWEEN(95, 105) / 100</f>
        <v>0.9292</v>
      </c>
      <c r="D67" s="5">
        <f t="shared" si="1"/>
        <v>5</v>
      </c>
      <c r="E67" s="7">
        <v>1.0</v>
      </c>
    </row>
    <row r="68">
      <c r="A68" s="18">
        <f>'Efficiency Orig'!A68 * RANDBETWEEN(95, 105) / 100</f>
        <v>1245.3</v>
      </c>
      <c r="B68" s="19">
        <f>'Efficiency Orig'!B68 * RANDBETWEEN(95, 105) / 100</f>
        <v>82.921</v>
      </c>
      <c r="C68" s="19">
        <f>'Efficiency Orig'!C68 * RANDBETWEEN(95, 105) / 100</f>
        <v>0.9016</v>
      </c>
      <c r="D68" s="9">
        <f t="shared" si="1"/>
        <v>5</v>
      </c>
      <c r="E68" s="10">
        <v>1.0</v>
      </c>
    </row>
    <row r="69">
      <c r="A69" s="16">
        <f>'Efficiency Orig'!A69 * RANDBETWEEN(95, 105) / 100</f>
        <v>1784.99</v>
      </c>
      <c r="B69" s="17">
        <f>'Efficiency Orig'!B69 * RANDBETWEEN(95, 105) / 100</f>
        <v>82.467</v>
      </c>
      <c r="C69" s="17">
        <f>'Efficiency Orig'!C69 * RANDBETWEEN(95, 105) / 100</f>
        <v>0.9384</v>
      </c>
      <c r="D69" s="5">
        <f t="shared" si="1"/>
        <v>5</v>
      </c>
      <c r="E69" s="7">
        <v>1.0</v>
      </c>
    </row>
    <row r="70">
      <c r="A70" s="18">
        <f>'Efficiency Orig'!A70 * RANDBETWEEN(95, 105) / 100</f>
        <v>529.24</v>
      </c>
      <c r="B70" s="19">
        <f>'Efficiency Orig'!B70 * RANDBETWEEN(95, 105) / 100</f>
        <v>87.87</v>
      </c>
      <c r="C70" s="19">
        <f>'Efficiency Orig'!C70 * RANDBETWEEN(95, 105) / 100</f>
        <v>0.9016</v>
      </c>
      <c r="D70" s="9">
        <f t="shared" si="1"/>
        <v>5</v>
      </c>
      <c r="E70" s="10">
        <v>1.0</v>
      </c>
    </row>
    <row r="71">
      <c r="A71" s="16">
        <f>'Efficiency Orig'!A71 * RANDBETWEEN(95, 105) / 100</f>
        <v>1487.73</v>
      </c>
      <c r="B71" s="17">
        <f>'Efficiency Orig'!B71 * RANDBETWEEN(95, 105) / 100</f>
        <v>95.76</v>
      </c>
      <c r="C71" s="17">
        <f>'Efficiency Orig'!C71 * RANDBETWEEN(95, 105) / 100</f>
        <v>0.92</v>
      </c>
      <c r="D71" s="5">
        <f t="shared" si="1"/>
        <v>5</v>
      </c>
      <c r="E71" s="7">
        <v>1.0</v>
      </c>
    </row>
    <row r="72">
      <c r="A72" s="18">
        <f>'Efficiency Orig'!A72 * RANDBETWEEN(95, 105) / 100</f>
        <v>4387.76</v>
      </c>
      <c r="B72" s="19">
        <f>'Efficiency Orig'!B72 * RANDBETWEEN(95, 105) / 100</f>
        <v>12.74</v>
      </c>
      <c r="C72" s="19">
        <f>'Efficiency Orig'!C72 * RANDBETWEEN(95, 105) / 100</f>
        <v>0.9765</v>
      </c>
      <c r="D72" s="9">
        <f t="shared" si="1"/>
        <v>5</v>
      </c>
      <c r="E72" s="10">
        <v>1.0</v>
      </c>
    </row>
    <row r="73">
      <c r="A73" s="16">
        <f>'Efficiency Orig'!A73 * RANDBETWEEN(95, 105) / 100</f>
        <v>3584</v>
      </c>
      <c r="B73" s="17">
        <f>'Efficiency Orig'!B73 * RANDBETWEEN(95, 105) / 100</f>
        <v>19.1</v>
      </c>
      <c r="C73" s="17">
        <f>'Efficiency Orig'!C73 * RANDBETWEEN(95, 105) / 100</f>
        <v>0.9021</v>
      </c>
      <c r="D73" s="5">
        <f t="shared" si="1"/>
        <v>5</v>
      </c>
      <c r="E73" s="7">
        <v>1.0</v>
      </c>
    </row>
    <row r="74">
      <c r="A74" s="18">
        <f>'Efficiency Orig'!A74 * RANDBETWEEN(95, 105) / 100</f>
        <v>4238.45</v>
      </c>
      <c r="B74" s="19">
        <f>'Efficiency Orig'!B74 * RANDBETWEEN(95, 105) / 100</f>
        <v>22.6</v>
      </c>
      <c r="C74" s="19">
        <f>'Efficiency Orig'!C74 * RANDBETWEEN(95, 105) / 100</f>
        <v>0.8928</v>
      </c>
      <c r="D74" s="9">
        <f t="shared" si="1"/>
        <v>4</v>
      </c>
      <c r="E74" s="10">
        <v>1.0</v>
      </c>
    </row>
    <row r="75">
      <c r="A75" s="16">
        <f>'Efficiency Orig'!A75 * RANDBETWEEN(95, 105) / 100</f>
        <v>3123.12</v>
      </c>
      <c r="B75" s="17">
        <f>'Efficiency Orig'!B75 * RANDBETWEEN(95, 105) / 100</f>
        <v>22.213</v>
      </c>
      <c r="C75" s="17">
        <f>'Efficiency Orig'!C75 * RANDBETWEEN(95, 105) / 100</f>
        <v>0.9672</v>
      </c>
      <c r="D75" s="5">
        <f t="shared" si="1"/>
        <v>5</v>
      </c>
      <c r="E75" s="7">
        <v>1.0</v>
      </c>
    </row>
    <row r="76">
      <c r="A76" s="18">
        <f>'Efficiency Orig'!A76 * RANDBETWEEN(95, 105) / 100</f>
        <v>2012.16</v>
      </c>
      <c r="B76" s="19">
        <f>'Efficiency Orig'!B76 * RANDBETWEEN(95, 105) / 100</f>
        <v>47.689</v>
      </c>
      <c r="C76" s="19">
        <f>'Efficiency Orig'!C76 * RANDBETWEEN(95, 105) / 100</f>
        <v>0.8835</v>
      </c>
      <c r="D76" s="9">
        <f t="shared" si="1"/>
        <v>4</v>
      </c>
      <c r="E76" s="10">
        <v>1.0</v>
      </c>
    </row>
    <row r="77">
      <c r="A77" s="16">
        <f>'Efficiency Orig'!A77 * RANDBETWEEN(95, 105) / 100</f>
        <v>2779.05</v>
      </c>
      <c r="B77" s="17">
        <f>'Efficiency Orig'!B77 * RANDBETWEEN(95, 105) / 100</f>
        <v>44.64</v>
      </c>
      <c r="C77" s="17">
        <f>'Efficiency Orig'!C77 * RANDBETWEEN(95, 105) / 100</f>
        <v>0.9672</v>
      </c>
      <c r="D77" s="5">
        <f t="shared" si="1"/>
        <v>5</v>
      </c>
      <c r="E77" s="7">
        <v>1.0</v>
      </c>
    </row>
    <row r="78">
      <c r="A78" s="18">
        <f>'Efficiency Orig'!A78 * RANDBETWEEN(95, 105) / 100</f>
        <v>2162.16</v>
      </c>
      <c r="B78" s="19">
        <f>'Efficiency Orig'!B78 * RANDBETWEEN(95, 105) / 100</f>
        <v>52.122</v>
      </c>
      <c r="C78" s="19">
        <f>'Efficiency Orig'!C78 * RANDBETWEEN(95, 105) / 100</f>
        <v>0.9579</v>
      </c>
      <c r="D78" s="9">
        <f t="shared" si="1"/>
        <v>5</v>
      </c>
      <c r="E78" s="10">
        <v>1.0</v>
      </c>
    </row>
    <row r="79">
      <c r="A79" s="16">
        <f>'Efficiency Orig'!A79 * RANDBETWEEN(95, 105) / 100</f>
        <v>1789</v>
      </c>
      <c r="B79" s="17">
        <f>'Efficiency Orig'!B79 * RANDBETWEEN(95, 105) / 100</f>
        <v>57.504</v>
      </c>
      <c r="C79" s="17">
        <f>'Efficiency Orig'!C79 * RANDBETWEEN(95, 105) / 100</f>
        <v>0.8928</v>
      </c>
      <c r="D79" s="5">
        <f t="shared" si="1"/>
        <v>4</v>
      </c>
      <c r="E79" s="7">
        <v>1.0</v>
      </c>
    </row>
    <row r="80">
      <c r="A80" s="18">
        <f>'Efficiency Orig'!A80 * RANDBETWEEN(95, 105) / 100</f>
        <v>2109.12</v>
      </c>
      <c r="B80" s="19">
        <f>'Efficiency Orig'!B80 * RANDBETWEEN(95, 105) / 100</f>
        <v>70.8</v>
      </c>
      <c r="C80" s="19">
        <f>'Efficiency Orig'!C80 * RANDBETWEEN(95, 105) / 100</f>
        <v>0.8928</v>
      </c>
      <c r="D80" s="9">
        <f t="shared" si="1"/>
        <v>4</v>
      </c>
      <c r="E80" s="10">
        <v>1.0</v>
      </c>
    </row>
    <row r="81">
      <c r="A81" s="16">
        <f>'Efficiency Orig'!A81 * RANDBETWEEN(95, 105) / 100</f>
        <v>884.34</v>
      </c>
      <c r="B81" s="17">
        <f>'Efficiency Orig'!B81 * RANDBETWEEN(95, 105) / 100</f>
        <v>87.2</v>
      </c>
      <c r="C81" s="17">
        <f>'Efficiency Orig'!C81 * RANDBETWEEN(95, 105) / 100</f>
        <v>0.9114</v>
      </c>
      <c r="D81" s="5">
        <f t="shared" si="1"/>
        <v>5</v>
      </c>
      <c r="E81" s="7">
        <v>1.0</v>
      </c>
    </row>
    <row r="82">
      <c r="A82" s="18">
        <f>'Efficiency Orig'!A82 * RANDBETWEEN(95, 105) / 100</f>
        <v>4351.36</v>
      </c>
      <c r="B82" s="19">
        <f>'Efficiency Orig'!B82 * RANDBETWEEN(95, 105) / 100</f>
        <v>18.424</v>
      </c>
      <c r="C82" s="19">
        <f>'Efficiency Orig'!C82 * RANDBETWEEN(95, 105) / 100</f>
        <v>0.9494</v>
      </c>
      <c r="D82" s="9">
        <f t="shared" si="1"/>
        <v>5</v>
      </c>
      <c r="E82" s="10">
        <v>1.0</v>
      </c>
    </row>
    <row r="83">
      <c r="A83" s="16">
        <f>'Efficiency Orig'!A83 * RANDBETWEEN(95, 105) / 100</f>
        <v>2573.76</v>
      </c>
      <c r="B83" s="17">
        <f>'Efficiency Orig'!B83 * RANDBETWEEN(95, 105) / 100</f>
        <v>31.556</v>
      </c>
      <c r="C83" s="17">
        <f>'Efficiency Orig'!C83 * RANDBETWEEN(95, 105) / 100</f>
        <v>0.9682</v>
      </c>
      <c r="D83" s="5">
        <f t="shared" si="1"/>
        <v>5</v>
      </c>
      <c r="E83" s="7">
        <v>1.0</v>
      </c>
    </row>
    <row r="84">
      <c r="A84" s="18">
        <f>'Efficiency Orig'!A84 * RANDBETWEEN(95, 105) / 100</f>
        <v>2533.44</v>
      </c>
      <c r="B84" s="19">
        <f>'Efficiency Orig'!B84 * RANDBETWEEN(95, 105) / 100</f>
        <v>42.528</v>
      </c>
      <c r="C84" s="19">
        <f>'Efficiency Orig'!C84 * RANDBETWEEN(95, 105) / 100</f>
        <v>0.9118</v>
      </c>
      <c r="D84" s="9">
        <f t="shared" si="1"/>
        <v>5</v>
      </c>
      <c r="E84" s="10">
        <v>1.0</v>
      </c>
    </row>
    <row r="85">
      <c r="A85" s="16">
        <f>'Efficiency Orig'!A85 * RANDBETWEEN(95, 105) / 100</f>
        <v>2735.04</v>
      </c>
      <c r="B85" s="17">
        <f>'Efficiency Orig'!B85 * RANDBETWEEN(95, 105) / 100</f>
        <v>45.59</v>
      </c>
      <c r="C85" s="17">
        <f>'Efficiency Orig'!C85 * RANDBETWEEN(95, 105) / 100</f>
        <v>0.9306</v>
      </c>
      <c r="D85" s="5">
        <f t="shared" si="1"/>
        <v>5</v>
      </c>
      <c r="E85" s="7">
        <v>1.0</v>
      </c>
    </row>
    <row r="86">
      <c r="A86" s="18">
        <f>'Efficiency Orig'!A86 * RANDBETWEEN(95, 105) / 100</f>
        <v>2020.76</v>
      </c>
      <c r="B86" s="19">
        <f>'Efficiency Orig'!B86 * RANDBETWEEN(95, 105) / 100</f>
        <v>57.528</v>
      </c>
      <c r="C86" s="19">
        <f>'Efficiency Orig'!C86 * RANDBETWEEN(95, 105) / 100</f>
        <v>0.9306</v>
      </c>
      <c r="D86" s="9">
        <f t="shared" si="1"/>
        <v>5</v>
      </c>
      <c r="E86" s="10">
        <v>1.0</v>
      </c>
    </row>
    <row r="87">
      <c r="A87" s="16">
        <f>'Efficiency Orig'!A87 * RANDBETWEEN(95, 105) / 100</f>
        <v>2232.44</v>
      </c>
      <c r="B87" s="17">
        <f>'Efficiency Orig'!B87 * RANDBETWEEN(95, 105) / 100</f>
        <v>64.89</v>
      </c>
      <c r="C87" s="17">
        <f>'Efficiency Orig'!C87 * RANDBETWEEN(95, 105) / 100</f>
        <v>0.94</v>
      </c>
      <c r="D87" s="5">
        <f t="shared" si="1"/>
        <v>5</v>
      </c>
      <c r="E87" s="7">
        <v>1.0</v>
      </c>
    </row>
    <row r="88">
      <c r="A88" s="18">
        <f>'Efficiency Orig'!A88 * RANDBETWEEN(95, 105) / 100</f>
        <v>1916.16</v>
      </c>
      <c r="B88" s="19">
        <f>'Efficiency Orig'!B88 * RANDBETWEEN(95, 105) / 100</f>
        <v>79.31</v>
      </c>
      <c r="C88" s="19">
        <f>'Efficiency Orig'!C88 * RANDBETWEEN(95, 105) / 100</f>
        <v>0.987</v>
      </c>
      <c r="D88" s="9">
        <f t="shared" si="1"/>
        <v>5</v>
      </c>
      <c r="E88" s="10">
        <v>1.0</v>
      </c>
    </row>
    <row r="89">
      <c r="A89" s="16">
        <f>'Efficiency Orig'!A89 * RANDBETWEEN(95, 105) / 100</f>
        <v>1154.44</v>
      </c>
      <c r="B89" s="17">
        <f>'Efficiency Orig'!B89 * RANDBETWEEN(95, 105) / 100</f>
        <v>90.984</v>
      </c>
      <c r="C89" s="17">
        <f>'Efficiency Orig'!C89 * RANDBETWEEN(95, 105) / 100</f>
        <v>0.987</v>
      </c>
      <c r="D89" s="5">
        <f t="shared" si="1"/>
        <v>5</v>
      </c>
      <c r="E89" s="7">
        <v>1.0</v>
      </c>
    </row>
    <row r="90">
      <c r="A90" s="18">
        <f>'Efficiency Orig'!A90 * RANDBETWEEN(95, 105) / 100</f>
        <v>1421.98</v>
      </c>
      <c r="B90" s="19">
        <f>'Efficiency Orig'!B90 * RANDBETWEEN(95, 105) / 100</f>
        <v>104.104</v>
      </c>
      <c r="C90" s="19">
        <f>'Efficiency Orig'!C90 * RANDBETWEEN(95, 105) / 100</f>
        <v>0.893</v>
      </c>
      <c r="D90" s="9">
        <f t="shared" si="1"/>
        <v>4</v>
      </c>
      <c r="E90" s="10">
        <v>1.0</v>
      </c>
    </row>
    <row r="91">
      <c r="A91" s="16">
        <f>'Efficiency Orig'!A91 * RANDBETWEEN(95, 105) / 100</f>
        <v>2925.3</v>
      </c>
      <c r="B91" s="17">
        <f>'Efficiency Orig'!B91 * RANDBETWEEN(95, 105) / 100</f>
        <v>29.799</v>
      </c>
      <c r="C91" s="17">
        <f>'Efficiency Orig'!C91 * RANDBETWEEN(95, 105) / 100</f>
        <v>0.9595</v>
      </c>
      <c r="D91" s="5">
        <f t="shared" si="1"/>
        <v>5</v>
      </c>
      <c r="E91" s="7">
        <v>1.0</v>
      </c>
    </row>
    <row r="92">
      <c r="A92" s="18">
        <f>'Efficiency Orig'!A92 * RANDBETWEEN(95, 105) / 100</f>
        <v>3056.01</v>
      </c>
      <c r="B92" s="19">
        <f>'Efficiency Orig'!B92 * RANDBETWEEN(95, 105) / 100</f>
        <v>33.462</v>
      </c>
      <c r="C92" s="19">
        <f>'Efficiency Orig'!C92 * RANDBETWEEN(95, 105) / 100</f>
        <v>0.912</v>
      </c>
      <c r="D92" s="9">
        <f t="shared" si="1"/>
        <v>5</v>
      </c>
      <c r="E92" s="10">
        <v>1.0</v>
      </c>
    </row>
    <row r="93">
      <c r="A93" s="16">
        <f>'Efficiency Orig'!A93 * RANDBETWEEN(95, 105) / 100</f>
        <v>2613.66</v>
      </c>
      <c r="B93" s="17">
        <f>'Efficiency Orig'!B93 * RANDBETWEEN(95, 105) / 100</f>
        <v>37.044</v>
      </c>
      <c r="C93" s="17">
        <f>'Efficiency Orig'!C93 * RANDBETWEEN(95, 105) / 100</f>
        <v>0.96</v>
      </c>
      <c r="D93" s="5">
        <f t="shared" si="1"/>
        <v>5</v>
      </c>
      <c r="E93" s="7">
        <v>1.0</v>
      </c>
    </row>
    <row r="94">
      <c r="A94" s="18">
        <f>'Efficiency Orig'!A94 * RANDBETWEEN(95, 105) / 100</f>
        <v>2224.9</v>
      </c>
      <c r="B94" s="19">
        <f>'Efficiency Orig'!B94 * RANDBETWEEN(95, 105) / 100</f>
        <v>51.456</v>
      </c>
      <c r="C94" s="19">
        <f>'Efficiency Orig'!C94 * RANDBETWEEN(95, 105) / 100</f>
        <v>0.96</v>
      </c>
      <c r="D94" s="9">
        <f t="shared" si="1"/>
        <v>5</v>
      </c>
      <c r="E94" s="10">
        <v>1.0</v>
      </c>
    </row>
    <row r="95">
      <c r="A95" s="16">
        <f>'Efficiency Orig'!A95 * RANDBETWEEN(95, 105) / 100</f>
        <v>2332.09</v>
      </c>
      <c r="B95" s="17">
        <f>'Efficiency Orig'!B95 * RANDBETWEEN(95, 105) / 100</f>
        <v>58.212</v>
      </c>
      <c r="C95" s="17">
        <f>'Efficiency Orig'!C95 * RANDBETWEEN(95, 105) / 100</f>
        <v>1.008</v>
      </c>
      <c r="D95" s="5">
        <f t="shared" si="1"/>
        <v>5</v>
      </c>
      <c r="E95" s="7">
        <v>1.0</v>
      </c>
    </row>
    <row r="96">
      <c r="A96" s="18">
        <f>'Efficiency Orig'!A96 * RANDBETWEEN(95, 105) / 100</f>
        <v>1686.72</v>
      </c>
      <c r="B96" s="19">
        <f>'Efficiency Orig'!B96 * RANDBETWEEN(95, 105) / 100</f>
        <v>72.316</v>
      </c>
      <c r="C96" s="19">
        <f>'Efficiency Orig'!C96 * RANDBETWEEN(95, 105) / 100</f>
        <v>0.9888</v>
      </c>
      <c r="D96" s="9">
        <f t="shared" si="1"/>
        <v>5</v>
      </c>
      <c r="E96" s="10">
        <v>1.0</v>
      </c>
    </row>
    <row r="97">
      <c r="A97" s="16">
        <f>'Efficiency Orig'!A97 * RANDBETWEEN(95, 105) / 100</f>
        <v>4273.47</v>
      </c>
      <c r="B97" s="17">
        <f>'Efficiency Orig'!B97 * RANDBETWEEN(95, 105) / 100</f>
        <v>15.811</v>
      </c>
      <c r="C97" s="17">
        <f>'Efficiency Orig'!C97 * RANDBETWEEN(95, 105) / 100</f>
        <v>0.9894</v>
      </c>
      <c r="D97" s="5">
        <f t="shared" si="1"/>
        <v>5</v>
      </c>
      <c r="E97" s="7">
        <v>1.0</v>
      </c>
    </row>
    <row r="98">
      <c r="A98" s="18">
        <f>'Efficiency Orig'!A98 * RANDBETWEEN(95, 105) / 100</f>
        <v>2470.65</v>
      </c>
      <c r="B98" s="19">
        <f>'Efficiency Orig'!B98 * RANDBETWEEN(95, 105) / 100</f>
        <v>47.627</v>
      </c>
      <c r="C98" s="19">
        <f>'Efficiency Orig'!C98 * RANDBETWEEN(95, 105) / 100</f>
        <v>0.97</v>
      </c>
      <c r="D98" s="9">
        <f t="shared" si="1"/>
        <v>5</v>
      </c>
      <c r="E98" s="10">
        <v>1.0</v>
      </c>
    </row>
    <row r="99">
      <c r="A99" s="16">
        <f>'Efficiency Orig'!A99 * RANDBETWEEN(95, 105) / 100</f>
        <v>2679.53</v>
      </c>
      <c r="B99" s="17">
        <f>'Efficiency Orig'!B99 * RANDBETWEEN(95, 105) / 100</f>
        <v>39.788</v>
      </c>
      <c r="C99" s="17">
        <f>'Efficiency Orig'!C99 * RANDBETWEEN(95, 100) / 100</f>
        <v>0.9797</v>
      </c>
      <c r="D99" s="5">
        <f t="shared" si="1"/>
        <v>5</v>
      </c>
      <c r="E99" s="7">
        <v>1.0</v>
      </c>
    </row>
    <row r="100" hidden="1">
      <c r="A100" s="11">
        <v>0.0</v>
      </c>
      <c r="B100" s="12">
        <v>0.0</v>
      </c>
      <c r="C100" s="12">
        <v>0.0</v>
      </c>
      <c r="D100" s="13">
        <f t="shared" si="1"/>
        <v>1</v>
      </c>
      <c r="E100" s="14">
        <v>100.0</v>
      </c>
      <c r="G100" s="15" t="s">
        <v>5</v>
      </c>
    </row>
  </sheetData>
  <mergeCells count="1">
    <mergeCell ref="G100:H100"/>
  </mergeCells>
  <dataValidations>
    <dataValidation type="custom" allowBlank="1" showDropDown="1" sqref="A3:C100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63"/>
    <col customWidth="1" min="3" max="3" width="12.63"/>
    <col customWidth="1" min="4" max="4" width="6.88"/>
    <col customWidth="1" min="5" max="5" width="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16">
        <v>2852.85</v>
      </c>
      <c r="B3" s="17">
        <v>16.583000000000002</v>
      </c>
      <c r="C3" s="17">
        <v>0.20370000000000002</v>
      </c>
      <c r="D3" s="6">
        <v>1.0</v>
      </c>
      <c r="E3" s="7">
        <v>1.0</v>
      </c>
    </row>
    <row r="4">
      <c r="A4" s="18">
        <v>1468.7</v>
      </c>
      <c r="B4" s="19">
        <v>18.988000000000003</v>
      </c>
      <c r="C4" s="19">
        <v>0.4264</v>
      </c>
      <c r="D4" s="9">
        <v>1.0</v>
      </c>
      <c r="E4" s="10">
        <v>1.0</v>
      </c>
    </row>
    <row r="5">
      <c r="A5" s="16">
        <v>1230.0</v>
      </c>
      <c r="B5" s="17">
        <v>29.45</v>
      </c>
      <c r="C5" s="17">
        <v>0.5562</v>
      </c>
      <c r="D5" s="5">
        <v>2.0</v>
      </c>
      <c r="E5" s="7">
        <v>1.0</v>
      </c>
    </row>
    <row r="6">
      <c r="A6" s="18">
        <v>2347.2</v>
      </c>
      <c r="B6" s="19">
        <v>7.644</v>
      </c>
      <c r="C6" s="19">
        <v>0.5916</v>
      </c>
      <c r="D6" s="9">
        <v>2.0</v>
      </c>
      <c r="E6" s="10">
        <v>1.0</v>
      </c>
    </row>
    <row r="7">
      <c r="A7" s="16">
        <v>956.87</v>
      </c>
      <c r="B7" s="17">
        <v>32.495</v>
      </c>
      <c r="C7" s="17">
        <v>0.5722999999999999</v>
      </c>
      <c r="D7" s="5">
        <v>2.0</v>
      </c>
      <c r="E7" s="7">
        <v>1.0</v>
      </c>
    </row>
    <row r="8">
      <c r="A8" s="18">
        <v>1260.72</v>
      </c>
      <c r="B8" s="19">
        <v>38.412000000000006</v>
      </c>
      <c r="C8" s="19">
        <v>0.5917</v>
      </c>
      <c r="D8" s="9">
        <v>2.0</v>
      </c>
      <c r="E8" s="10">
        <v>1.0</v>
      </c>
    </row>
    <row r="9">
      <c r="A9" s="16">
        <v>1607.55</v>
      </c>
      <c r="B9" s="17">
        <v>33.2</v>
      </c>
      <c r="C9" s="17">
        <v>0.6014</v>
      </c>
      <c r="D9" s="5">
        <v>2.0</v>
      </c>
      <c r="E9" s="7">
        <v>1.0</v>
      </c>
    </row>
    <row r="10">
      <c r="A10" s="18">
        <v>1890.05</v>
      </c>
      <c r="B10" s="19">
        <v>15.582</v>
      </c>
      <c r="C10" s="19">
        <v>0.6534</v>
      </c>
      <c r="D10" s="9">
        <v>2.0</v>
      </c>
      <c r="E10" s="10">
        <v>1.0</v>
      </c>
    </row>
    <row r="11">
      <c r="A11" s="16">
        <v>894.34</v>
      </c>
      <c r="B11" s="17">
        <v>40.85</v>
      </c>
      <c r="C11" s="17">
        <v>0.627</v>
      </c>
      <c r="D11" s="5">
        <v>2.0</v>
      </c>
      <c r="E11" s="7">
        <v>1.0</v>
      </c>
    </row>
    <row r="12">
      <c r="A12" s="18">
        <v>596.55</v>
      </c>
      <c r="B12" s="19">
        <v>49.16400000000001</v>
      </c>
      <c r="C12" s="19">
        <v>0.6767</v>
      </c>
      <c r="D12" s="9">
        <v>2.0</v>
      </c>
      <c r="E12" s="10">
        <v>1.0</v>
      </c>
    </row>
    <row r="13">
      <c r="A13" s="16">
        <v>2195.96</v>
      </c>
      <c r="B13" s="17">
        <v>13.288999999999998</v>
      </c>
      <c r="C13" s="17">
        <v>0.735</v>
      </c>
      <c r="D13" s="5">
        <v>3.0</v>
      </c>
      <c r="E13" s="7">
        <v>1.0</v>
      </c>
    </row>
    <row r="14">
      <c r="A14" s="18">
        <v>2371.65</v>
      </c>
      <c r="B14" s="19">
        <v>12.272</v>
      </c>
      <c r="C14" s="19">
        <v>0.6745</v>
      </c>
      <c r="D14" s="9">
        <v>2.0</v>
      </c>
      <c r="E14" s="10">
        <v>1.0</v>
      </c>
    </row>
    <row r="15">
      <c r="A15" s="16">
        <v>1432.6</v>
      </c>
      <c r="B15" s="17">
        <v>60.795</v>
      </c>
      <c r="C15" s="17">
        <v>0.7056</v>
      </c>
      <c r="D15" s="5">
        <v>3.0</v>
      </c>
      <c r="E15" s="7">
        <v>1.0</v>
      </c>
    </row>
    <row r="16">
      <c r="A16" s="18">
        <v>958.65</v>
      </c>
      <c r="B16" s="19">
        <v>53.025</v>
      </c>
      <c r="C16" s="19">
        <v>0.7153999999999999</v>
      </c>
      <c r="D16" s="9">
        <v>3.0</v>
      </c>
      <c r="E16" s="10">
        <v>1.0</v>
      </c>
    </row>
    <row r="17">
      <c r="A17" s="16">
        <v>1183.35</v>
      </c>
      <c r="B17" s="17">
        <v>117.075</v>
      </c>
      <c r="C17" s="17">
        <v>0.7008</v>
      </c>
      <c r="D17" s="5">
        <v>3.0</v>
      </c>
      <c r="E17" s="7">
        <v>1.0</v>
      </c>
    </row>
    <row r="18">
      <c r="A18" s="18">
        <v>1467.61</v>
      </c>
      <c r="B18" s="19">
        <v>47.7</v>
      </c>
      <c r="C18" s="19">
        <v>0.7178</v>
      </c>
      <c r="D18" s="9">
        <v>3.0</v>
      </c>
      <c r="E18" s="10">
        <v>1.0</v>
      </c>
    </row>
    <row r="19">
      <c r="A19" s="16">
        <v>1919.4</v>
      </c>
      <c r="B19" s="17">
        <v>28.035</v>
      </c>
      <c r="C19" s="17">
        <v>0.7828</v>
      </c>
      <c r="D19" s="5">
        <v>3.0</v>
      </c>
      <c r="E19" s="7">
        <v>1.0</v>
      </c>
    </row>
    <row r="20">
      <c r="A20" s="18">
        <v>4425.2</v>
      </c>
      <c r="B20" s="19">
        <v>2.5</v>
      </c>
      <c r="C20" s="19">
        <v>0.8085000000000001</v>
      </c>
      <c r="D20" s="9">
        <v>4.0</v>
      </c>
      <c r="E20" s="10">
        <v>1.0</v>
      </c>
    </row>
    <row r="21">
      <c r="A21" s="16">
        <v>2630.4</v>
      </c>
      <c r="B21" s="17">
        <v>10.735</v>
      </c>
      <c r="C21" s="17">
        <v>0.78</v>
      </c>
      <c r="D21" s="5">
        <v>3.0</v>
      </c>
      <c r="E21" s="7">
        <v>1.0</v>
      </c>
    </row>
    <row r="22">
      <c r="A22" s="18">
        <v>938.08</v>
      </c>
      <c r="B22" s="19">
        <v>61.824000000000005</v>
      </c>
      <c r="C22" s="19">
        <v>0.8</v>
      </c>
      <c r="D22" s="9">
        <v>3.0</v>
      </c>
      <c r="E22" s="10">
        <v>1.0</v>
      </c>
    </row>
    <row r="23">
      <c r="A23" s="16">
        <v>2238.6</v>
      </c>
      <c r="B23" s="17">
        <v>23.381</v>
      </c>
      <c r="C23" s="17">
        <v>0.7872</v>
      </c>
      <c r="D23" s="5">
        <v>3.0</v>
      </c>
      <c r="E23" s="7">
        <v>1.0</v>
      </c>
    </row>
    <row r="24">
      <c r="A24" s="18">
        <v>4092.43</v>
      </c>
      <c r="B24" s="19">
        <v>6.6659999999999995</v>
      </c>
      <c r="C24" s="19">
        <v>0.83</v>
      </c>
      <c r="D24" s="9">
        <v>4.0</v>
      </c>
      <c r="E24" s="10">
        <v>1.0</v>
      </c>
    </row>
    <row r="25">
      <c r="A25" s="16">
        <v>1821.0</v>
      </c>
      <c r="B25" s="17">
        <v>36.181</v>
      </c>
      <c r="C25" s="17">
        <v>0.83</v>
      </c>
      <c r="D25" s="5">
        <v>4.0</v>
      </c>
      <c r="E25" s="7">
        <v>1.0</v>
      </c>
    </row>
    <row r="26">
      <c r="A26" s="18">
        <v>1187.76</v>
      </c>
      <c r="B26" s="19">
        <v>57.018</v>
      </c>
      <c r="C26" s="19">
        <v>0.8050999999999999</v>
      </c>
      <c r="D26" s="9">
        <v>4.0</v>
      </c>
      <c r="E26" s="10">
        <v>1.0</v>
      </c>
    </row>
    <row r="27">
      <c r="A27" s="16">
        <v>2979.2</v>
      </c>
      <c r="B27" s="17">
        <v>10.094000000000001</v>
      </c>
      <c r="C27" s="17">
        <v>0.7979999999999999</v>
      </c>
      <c r="D27" s="5">
        <v>3.0</v>
      </c>
      <c r="E27" s="7">
        <v>1.0</v>
      </c>
    </row>
    <row r="28">
      <c r="A28" s="18">
        <v>2493.63</v>
      </c>
      <c r="B28" s="19">
        <v>19.488000000000003</v>
      </c>
      <c r="C28" s="19">
        <v>0.8484</v>
      </c>
      <c r="D28" s="9">
        <v>4.0</v>
      </c>
      <c r="E28" s="10">
        <v>1.0</v>
      </c>
    </row>
    <row r="29">
      <c r="A29" s="16">
        <v>1795.0</v>
      </c>
      <c r="B29" s="17">
        <v>48.60900000000001</v>
      </c>
      <c r="C29" s="17">
        <v>0.8148000000000001</v>
      </c>
      <c r="D29" s="5">
        <v>4.0</v>
      </c>
      <c r="E29" s="7">
        <v>1.0</v>
      </c>
    </row>
    <row r="30">
      <c r="A30" s="18">
        <v>4122.82</v>
      </c>
      <c r="B30" s="19">
        <v>22.697999999999997</v>
      </c>
      <c r="C30" s="19">
        <v>0.867</v>
      </c>
      <c r="D30" s="9">
        <v>4.0</v>
      </c>
      <c r="E30" s="10">
        <v>1.0</v>
      </c>
    </row>
    <row r="31">
      <c r="A31" s="16">
        <v>3636.0</v>
      </c>
      <c r="B31" s="17">
        <v>7.505</v>
      </c>
      <c r="C31" s="17">
        <v>0.8772</v>
      </c>
      <c r="D31" s="5">
        <v>4.0</v>
      </c>
      <c r="E31" s="7">
        <v>1.0</v>
      </c>
    </row>
    <row r="32">
      <c r="A32" s="18">
        <v>2126.05</v>
      </c>
      <c r="B32" s="19">
        <v>31.6</v>
      </c>
      <c r="C32" s="19">
        <v>0.8858</v>
      </c>
      <c r="D32" s="9">
        <v>4.0</v>
      </c>
      <c r="E32" s="10">
        <v>1.0</v>
      </c>
    </row>
    <row r="33">
      <c r="A33" s="16">
        <v>2834.0</v>
      </c>
      <c r="B33" s="17">
        <v>17.85</v>
      </c>
      <c r="C33" s="17">
        <v>0.8787</v>
      </c>
      <c r="D33" s="5">
        <v>4.0</v>
      </c>
      <c r="E33" s="7">
        <v>1.0</v>
      </c>
    </row>
    <row r="34">
      <c r="A34" s="18">
        <v>2802.8</v>
      </c>
      <c r="B34" s="19">
        <v>28.987</v>
      </c>
      <c r="C34" s="19">
        <v>0.87</v>
      </c>
      <c r="D34" s="9">
        <v>4.0</v>
      </c>
      <c r="E34" s="10">
        <v>1.0</v>
      </c>
    </row>
    <row r="35">
      <c r="A35" s="16">
        <v>2609.84</v>
      </c>
      <c r="B35" s="17">
        <v>53.346</v>
      </c>
      <c r="C35" s="17">
        <v>0.9135</v>
      </c>
      <c r="D35" s="5">
        <v>5.0</v>
      </c>
      <c r="E35" s="7">
        <v>1.0</v>
      </c>
    </row>
    <row r="36">
      <c r="A36" s="18">
        <v>2687.36</v>
      </c>
      <c r="B36" s="19">
        <v>53.53</v>
      </c>
      <c r="C36" s="19">
        <v>0.8439</v>
      </c>
      <c r="D36" s="9">
        <v>4.0</v>
      </c>
      <c r="E36" s="10">
        <v>1.0</v>
      </c>
    </row>
    <row r="37">
      <c r="A37" s="16">
        <v>1705.25</v>
      </c>
      <c r="B37" s="17">
        <v>52.38</v>
      </c>
      <c r="C37" s="17">
        <v>0.8526</v>
      </c>
      <c r="D37" s="5">
        <v>4.0</v>
      </c>
      <c r="E37" s="7">
        <v>1.0</v>
      </c>
    </row>
    <row r="38">
      <c r="A38" s="18">
        <v>4382.65</v>
      </c>
      <c r="B38" s="19">
        <v>5.05</v>
      </c>
      <c r="C38" s="19">
        <v>0.836</v>
      </c>
      <c r="D38" s="9">
        <v>4.0</v>
      </c>
      <c r="E38" s="10">
        <v>1.0</v>
      </c>
    </row>
    <row r="39">
      <c r="A39" s="16">
        <v>4425.2</v>
      </c>
      <c r="B39" s="17">
        <v>9.595</v>
      </c>
      <c r="C39" s="17">
        <v>0.88</v>
      </c>
      <c r="D39" s="5">
        <v>4.0</v>
      </c>
      <c r="E39" s="7">
        <v>1.0</v>
      </c>
    </row>
    <row r="40">
      <c r="A40" s="18">
        <v>4066.02</v>
      </c>
      <c r="B40" s="19">
        <v>20.37</v>
      </c>
      <c r="C40" s="19">
        <v>0.88</v>
      </c>
      <c r="D40" s="9">
        <v>4.0</v>
      </c>
      <c r="E40" s="10">
        <v>1.0</v>
      </c>
    </row>
    <row r="41">
      <c r="A41" s="16">
        <v>3392.64</v>
      </c>
      <c r="B41" s="17">
        <v>23.808000000000003</v>
      </c>
      <c r="C41" s="17">
        <v>0.8976000000000001</v>
      </c>
      <c r="D41" s="5">
        <v>4.0</v>
      </c>
      <c r="E41" s="7">
        <v>1.0</v>
      </c>
    </row>
    <row r="42">
      <c r="A42" s="18">
        <v>3498.66</v>
      </c>
      <c r="B42" s="19">
        <v>27.371000000000002</v>
      </c>
      <c r="C42" s="19">
        <v>0.8976000000000001</v>
      </c>
      <c r="D42" s="9">
        <v>4.0</v>
      </c>
      <c r="E42" s="10">
        <v>1.0</v>
      </c>
    </row>
    <row r="43">
      <c r="A43" s="16">
        <v>2209.66</v>
      </c>
      <c r="B43" s="17">
        <v>69.319</v>
      </c>
      <c r="C43" s="17">
        <v>0.88</v>
      </c>
      <c r="D43" s="5">
        <v>4.0</v>
      </c>
      <c r="E43" s="7">
        <v>1.0</v>
      </c>
    </row>
    <row r="44">
      <c r="A44" s="18">
        <v>4309.52</v>
      </c>
      <c r="B44" s="19">
        <v>14.846999999999998</v>
      </c>
      <c r="C44" s="19">
        <v>0.8633</v>
      </c>
      <c r="D44" s="9">
        <v>4.0</v>
      </c>
      <c r="E44" s="10">
        <v>1.0</v>
      </c>
    </row>
    <row r="45">
      <c r="A45" s="16">
        <v>2710.0</v>
      </c>
      <c r="B45" s="17">
        <v>24.096000000000004</v>
      </c>
      <c r="C45" s="17">
        <v>0.8633</v>
      </c>
      <c r="D45" s="5">
        <v>4.0</v>
      </c>
      <c r="E45" s="7">
        <v>1.0</v>
      </c>
    </row>
    <row r="46">
      <c r="A46" s="18">
        <v>2126.05</v>
      </c>
      <c r="B46" s="19">
        <v>36.865</v>
      </c>
      <c r="C46" s="19">
        <v>0.9167000000000001</v>
      </c>
      <c r="D46" s="9">
        <v>5.0</v>
      </c>
      <c r="E46" s="10">
        <v>1.0</v>
      </c>
    </row>
    <row r="47">
      <c r="A47" s="16">
        <v>1183.05</v>
      </c>
      <c r="B47" s="17">
        <v>72.0</v>
      </c>
      <c r="C47" s="17">
        <v>0.8543999999999999</v>
      </c>
      <c r="D47" s="5">
        <v>4.0</v>
      </c>
      <c r="E47" s="7">
        <v>1.0</v>
      </c>
    </row>
    <row r="48">
      <c r="A48" s="18">
        <v>2882.88</v>
      </c>
      <c r="B48" s="19">
        <v>24.735</v>
      </c>
      <c r="C48" s="19">
        <v>0.855</v>
      </c>
      <c r="D48" s="9">
        <v>4.0</v>
      </c>
      <c r="E48" s="10">
        <v>1.0</v>
      </c>
    </row>
    <row r="49">
      <c r="A49" s="16">
        <v>3473.91</v>
      </c>
      <c r="B49" s="17">
        <v>31.824</v>
      </c>
      <c r="C49" s="17">
        <v>0.927</v>
      </c>
      <c r="D49" s="5">
        <v>5.0</v>
      </c>
      <c r="E49" s="7">
        <v>1.0</v>
      </c>
    </row>
    <row r="50">
      <c r="A50" s="18">
        <v>3079.65</v>
      </c>
      <c r="B50" s="19">
        <v>40.788000000000004</v>
      </c>
      <c r="C50" s="19">
        <v>0.855</v>
      </c>
      <c r="D50" s="9">
        <v>4.0</v>
      </c>
      <c r="E50" s="10">
        <v>1.0</v>
      </c>
    </row>
    <row r="51">
      <c r="A51" s="16">
        <v>2269.44</v>
      </c>
      <c r="B51" s="17">
        <v>44.352</v>
      </c>
      <c r="C51" s="17">
        <v>0.9</v>
      </c>
      <c r="D51" s="5">
        <v>4.0</v>
      </c>
      <c r="E51" s="7">
        <v>1.0</v>
      </c>
    </row>
    <row r="52">
      <c r="A52" s="18">
        <v>2558.78</v>
      </c>
      <c r="B52" s="19">
        <v>46.272000000000006</v>
      </c>
      <c r="C52" s="19">
        <v>0.927</v>
      </c>
      <c r="D52" s="9">
        <v>5.0</v>
      </c>
      <c r="E52" s="10">
        <v>1.0</v>
      </c>
    </row>
    <row r="53">
      <c r="A53" s="16">
        <v>1783.0</v>
      </c>
      <c r="B53" s="17">
        <v>62.304</v>
      </c>
      <c r="C53" s="17">
        <v>0.873</v>
      </c>
      <c r="D53" s="5">
        <v>4.0</v>
      </c>
      <c r="E53" s="7">
        <v>1.0</v>
      </c>
    </row>
    <row r="54">
      <c r="A54" s="18">
        <v>887.0</v>
      </c>
      <c r="B54" s="19">
        <v>76.1</v>
      </c>
      <c r="C54" s="19">
        <v>0.9179999999999999</v>
      </c>
      <c r="D54" s="9">
        <v>5.0</v>
      </c>
      <c r="E54" s="10">
        <v>1.0</v>
      </c>
    </row>
    <row r="55">
      <c r="A55" s="16">
        <v>1426.56</v>
      </c>
      <c r="B55" s="17">
        <v>76.538</v>
      </c>
      <c r="C55" s="17">
        <v>0.9179999999999999</v>
      </c>
      <c r="D55" s="5">
        <v>5.0</v>
      </c>
      <c r="E55" s="7">
        <v>1.0</v>
      </c>
    </row>
    <row r="56">
      <c r="A56" s="18">
        <v>1403.15</v>
      </c>
      <c r="B56" s="19">
        <v>87.87</v>
      </c>
      <c r="C56" s="19">
        <v>0.927</v>
      </c>
      <c r="D56" s="9">
        <v>5.0</v>
      </c>
      <c r="E56" s="10">
        <v>1.0</v>
      </c>
    </row>
    <row r="57">
      <c r="A57" s="16">
        <v>1709.73</v>
      </c>
      <c r="B57" s="17">
        <v>83.125</v>
      </c>
      <c r="C57" s="17">
        <v>0.945</v>
      </c>
      <c r="D57" s="5">
        <v>5.0</v>
      </c>
      <c r="E57" s="7">
        <v>1.0</v>
      </c>
    </row>
    <row r="58">
      <c r="A58" s="18">
        <v>1116.47</v>
      </c>
      <c r="B58" s="19">
        <v>99.71600000000001</v>
      </c>
      <c r="C58" s="19">
        <v>0.945</v>
      </c>
      <c r="D58" s="9">
        <v>5.0</v>
      </c>
      <c r="E58" s="10">
        <v>1.0</v>
      </c>
    </row>
    <row r="59">
      <c r="A59" s="16">
        <v>2530.5</v>
      </c>
      <c r="B59" s="17">
        <v>28.683999999999997</v>
      </c>
      <c r="C59" s="17">
        <v>0.9464</v>
      </c>
      <c r="D59" s="5">
        <v>5.0</v>
      </c>
      <c r="E59" s="7">
        <v>1.0</v>
      </c>
    </row>
    <row r="60">
      <c r="A60" s="18">
        <v>1451.38</v>
      </c>
      <c r="B60" s="19">
        <v>87.13799999999999</v>
      </c>
      <c r="C60" s="19">
        <v>0.9373</v>
      </c>
      <c r="D60" s="9">
        <v>5.0</v>
      </c>
      <c r="E60" s="10">
        <v>1.0</v>
      </c>
    </row>
    <row r="61">
      <c r="A61" s="16">
        <v>3573.9</v>
      </c>
      <c r="B61" s="17">
        <v>13.802</v>
      </c>
      <c r="C61" s="17">
        <v>0.9476</v>
      </c>
      <c r="D61" s="5">
        <v>5.0</v>
      </c>
      <c r="E61" s="7">
        <v>1.0</v>
      </c>
    </row>
    <row r="62">
      <c r="A62" s="18">
        <v>2469.94</v>
      </c>
      <c r="B62" s="19">
        <v>37.595</v>
      </c>
      <c r="C62" s="19">
        <v>0.9660000000000001</v>
      </c>
      <c r="D62" s="9">
        <v>5.0</v>
      </c>
      <c r="E62" s="10">
        <v>1.0</v>
      </c>
    </row>
    <row r="63">
      <c r="A63" s="16">
        <v>2470.0</v>
      </c>
      <c r="B63" s="17">
        <v>42.33</v>
      </c>
      <c r="C63" s="17">
        <v>0.9660000000000001</v>
      </c>
      <c r="D63" s="5">
        <v>5.0</v>
      </c>
      <c r="E63" s="7">
        <v>1.0</v>
      </c>
    </row>
    <row r="64">
      <c r="A64" s="18">
        <v>2754.05</v>
      </c>
      <c r="B64" s="19">
        <v>42.874</v>
      </c>
      <c r="C64" s="19">
        <v>0.9292</v>
      </c>
      <c r="D64" s="9">
        <v>5.0</v>
      </c>
      <c r="E64" s="10">
        <v>1.0</v>
      </c>
    </row>
    <row r="65">
      <c r="A65" s="16">
        <v>2163.84</v>
      </c>
      <c r="B65" s="17">
        <v>52.0</v>
      </c>
      <c r="C65" s="17">
        <v>0.8832000000000001</v>
      </c>
      <c r="D65" s="5">
        <v>4.0</v>
      </c>
      <c r="E65" s="7">
        <v>1.0</v>
      </c>
    </row>
    <row r="66">
      <c r="A66" s="18">
        <v>1942.75</v>
      </c>
      <c r="B66" s="19">
        <v>63.08000000000001</v>
      </c>
      <c r="C66" s="19">
        <v>0.9107999999999999</v>
      </c>
      <c r="D66" s="9">
        <v>5.0</v>
      </c>
      <c r="E66" s="10">
        <v>1.0</v>
      </c>
    </row>
    <row r="67">
      <c r="A67" s="16">
        <v>1564.16</v>
      </c>
      <c r="B67" s="17">
        <v>67.32</v>
      </c>
      <c r="C67" s="17">
        <v>0.9660000000000001</v>
      </c>
      <c r="D67" s="5">
        <v>5.0</v>
      </c>
      <c r="E67" s="7">
        <v>1.0</v>
      </c>
    </row>
    <row r="68">
      <c r="A68" s="18">
        <v>1233.44</v>
      </c>
      <c r="B68" s="19">
        <v>81.279</v>
      </c>
      <c r="C68" s="19">
        <v>0.9384</v>
      </c>
      <c r="D68" s="9">
        <v>5.0</v>
      </c>
      <c r="E68" s="10">
        <v>1.0</v>
      </c>
    </row>
    <row r="69">
      <c r="A69" s="16">
        <v>1819.65</v>
      </c>
      <c r="B69" s="17">
        <v>86.63199999999999</v>
      </c>
      <c r="C69" s="17">
        <v>0.8832000000000001</v>
      </c>
      <c r="D69" s="5">
        <v>4.0</v>
      </c>
      <c r="E69" s="7">
        <v>1.0</v>
      </c>
    </row>
    <row r="70">
      <c r="A70" s="18">
        <v>550.2</v>
      </c>
      <c r="B70" s="19">
        <v>87.87</v>
      </c>
      <c r="C70" s="19">
        <v>0.9384</v>
      </c>
      <c r="D70" s="9">
        <v>5.0</v>
      </c>
      <c r="E70" s="10">
        <v>1.0</v>
      </c>
    </row>
    <row r="71">
      <c r="A71" s="16">
        <v>1517.19</v>
      </c>
      <c r="B71" s="17">
        <v>95.76</v>
      </c>
      <c r="C71" s="17">
        <v>0.92</v>
      </c>
      <c r="D71" s="5">
        <v>5.0</v>
      </c>
      <c r="E71" s="7">
        <v>1.0</v>
      </c>
    </row>
    <row r="72">
      <c r="A72" s="18">
        <v>4387.76</v>
      </c>
      <c r="B72" s="19">
        <v>13.39</v>
      </c>
      <c r="C72" s="19">
        <v>0.9021000000000001</v>
      </c>
      <c r="D72" s="9">
        <v>5.0</v>
      </c>
      <c r="E72" s="10">
        <v>1.0</v>
      </c>
    </row>
    <row r="73">
      <c r="A73" s="16">
        <v>3763.2</v>
      </c>
      <c r="B73" s="17">
        <v>20.055000000000003</v>
      </c>
      <c r="C73" s="17">
        <v>0.9021000000000001</v>
      </c>
      <c r="D73" s="5">
        <v>5.0</v>
      </c>
      <c r="E73" s="7">
        <v>1.0</v>
      </c>
    </row>
    <row r="74">
      <c r="A74" s="18">
        <v>3991.55</v>
      </c>
      <c r="B74" s="19">
        <v>22.374000000000002</v>
      </c>
      <c r="C74" s="19">
        <v>0.93</v>
      </c>
      <c r="D74" s="9">
        <v>5.0</v>
      </c>
      <c r="E74" s="10">
        <v>1.0</v>
      </c>
    </row>
    <row r="75">
      <c r="A75" s="16">
        <v>3063.06</v>
      </c>
      <c r="B75" s="17">
        <v>23.816</v>
      </c>
      <c r="C75" s="17">
        <v>0.9021000000000001</v>
      </c>
      <c r="D75" s="5">
        <v>5.0</v>
      </c>
      <c r="E75" s="7">
        <v>1.0</v>
      </c>
    </row>
    <row r="76">
      <c r="A76" s="18">
        <v>2096.0</v>
      </c>
      <c r="B76" s="19">
        <v>45.373999999999995</v>
      </c>
      <c r="C76" s="19">
        <v>0.9579000000000001</v>
      </c>
      <c r="D76" s="9">
        <v>5.0</v>
      </c>
      <c r="E76" s="10">
        <v>1.0</v>
      </c>
    </row>
    <row r="77">
      <c r="A77" s="16">
        <v>2922.3</v>
      </c>
      <c r="B77" s="17">
        <v>44.175</v>
      </c>
      <c r="C77" s="17">
        <v>0.9486</v>
      </c>
      <c r="D77" s="5">
        <v>5.0</v>
      </c>
      <c r="E77" s="7">
        <v>1.0</v>
      </c>
    </row>
    <row r="78">
      <c r="A78" s="18">
        <v>1975.05</v>
      </c>
      <c r="B78" s="19">
        <v>51.1</v>
      </c>
      <c r="C78" s="19">
        <v>0.9579000000000001</v>
      </c>
      <c r="D78" s="9">
        <v>5.0</v>
      </c>
      <c r="E78" s="10">
        <v>1.0</v>
      </c>
    </row>
    <row r="79">
      <c r="A79" s="16">
        <v>1842.67</v>
      </c>
      <c r="B79" s="17">
        <v>62.29599999999999</v>
      </c>
      <c r="C79" s="17">
        <v>0.9207000000000001</v>
      </c>
      <c r="D79" s="5">
        <v>5.0</v>
      </c>
      <c r="E79" s="7">
        <v>1.0</v>
      </c>
    </row>
    <row r="80">
      <c r="A80" s="18">
        <v>1926.6</v>
      </c>
      <c r="B80" s="19">
        <v>73.632</v>
      </c>
      <c r="C80" s="19">
        <v>0.9765</v>
      </c>
      <c r="D80" s="9">
        <v>5.0</v>
      </c>
      <c r="E80" s="10">
        <v>1.0</v>
      </c>
    </row>
    <row r="81">
      <c r="A81" s="16">
        <v>875.67</v>
      </c>
      <c r="B81" s="17">
        <v>83.712</v>
      </c>
      <c r="C81" s="17">
        <v>0.8835000000000001</v>
      </c>
      <c r="D81" s="5">
        <v>4.0</v>
      </c>
      <c r="E81" s="7">
        <v>1.0</v>
      </c>
    </row>
    <row r="82">
      <c r="A82" s="18">
        <v>4058.48</v>
      </c>
      <c r="B82" s="19">
        <v>18.236</v>
      </c>
      <c r="C82" s="19">
        <v>0.893</v>
      </c>
      <c r="D82" s="9">
        <v>4.0</v>
      </c>
      <c r="E82" s="10">
        <v>1.0</v>
      </c>
    </row>
    <row r="83">
      <c r="A83" s="16">
        <v>2573.76</v>
      </c>
      <c r="B83" s="17">
        <v>31.556000000000004</v>
      </c>
      <c r="C83" s="17">
        <v>0.9869999999999999</v>
      </c>
      <c r="D83" s="5">
        <v>5.0</v>
      </c>
      <c r="E83" s="7">
        <v>1.0</v>
      </c>
    </row>
    <row r="84">
      <c r="A84" s="18">
        <v>2744.56</v>
      </c>
      <c r="B84" s="19">
        <v>45.18599999999999</v>
      </c>
      <c r="C84" s="19">
        <v>0.9494</v>
      </c>
      <c r="D84" s="9">
        <v>5.0</v>
      </c>
      <c r="E84" s="10">
        <v>1.0</v>
      </c>
    </row>
    <row r="85">
      <c r="A85" s="16">
        <v>2849.0</v>
      </c>
      <c r="B85" s="17">
        <v>46.53</v>
      </c>
      <c r="C85" s="17">
        <v>0.893</v>
      </c>
      <c r="D85" s="5">
        <v>4.0</v>
      </c>
      <c r="E85" s="7">
        <v>1.0</v>
      </c>
    </row>
    <row r="86">
      <c r="A86" s="18">
        <v>2020.76</v>
      </c>
      <c r="B86" s="19">
        <v>58.092</v>
      </c>
      <c r="C86" s="19">
        <v>0.94</v>
      </c>
      <c r="D86" s="9">
        <v>5.0</v>
      </c>
      <c r="E86" s="10">
        <v>1.0</v>
      </c>
    </row>
    <row r="87">
      <c r="A87" s="16">
        <v>2209.66</v>
      </c>
      <c r="B87" s="17">
        <v>65.52</v>
      </c>
      <c r="C87" s="17">
        <v>0.9588</v>
      </c>
      <c r="D87" s="5">
        <v>5.0</v>
      </c>
      <c r="E87" s="7">
        <v>1.0</v>
      </c>
    </row>
    <row r="88">
      <c r="A88" s="18">
        <v>2075.84</v>
      </c>
      <c r="B88" s="19">
        <v>77.0</v>
      </c>
      <c r="C88" s="19">
        <v>0.9869999999999999</v>
      </c>
      <c r="D88" s="9">
        <v>5.0</v>
      </c>
      <c r="E88" s="10">
        <v>1.0</v>
      </c>
    </row>
    <row r="89">
      <c r="A89" s="16">
        <v>1225.12</v>
      </c>
      <c r="B89" s="17">
        <v>93.66</v>
      </c>
      <c r="C89" s="17">
        <v>0.9024</v>
      </c>
      <c r="D89" s="5">
        <v>5.0</v>
      </c>
      <c r="E89" s="7">
        <v>1.0</v>
      </c>
    </row>
    <row r="90">
      <c r="A90" s="18">
        <v>1392.96</v>
      </c>
      <c r="B90" s="19">
        <v>98.098</v>
      </c>
      <c r="C90" s="19">
        <v>0.893</v>
      </c>
      <c r="D90" s="9">
        <v>4.0</v>
      </c>
      <c r="E90" s="10">
        <v>1.0</v>
      </c>
    </row>
    <row r="91">
      <c r="A91" s="16">
        <v>3074.55</v>
      </c>
      <c r="B91" s="17">
        <v>29.498</v>
      </c>
      <c r="C91" s="17">
        <v>0.9119999999999999</v>
      </c>
      <c r="D91" s="5">
        <v>5.0</v>
      </c>
      <c r="E91" s="7">
        <v>1.0</v>
      </c>
    </row>
    <row r="92">
      <c r="A92" s="18">
        <v>2907.66</v>
      </c>
      <c r="B92" s="19">
        <v>32.10999999999999</v>
      </c>
      <c r="C92" s="19">
        <v>0.912</v>
      </c>
      <c r="D92" s="9">
        <v>5.0</v>
      </c>
      <c r="E92" s="10">
        <v>1.0</v>
      </c>
    </row>
    <row r="93">
      <c r="A93" s="16">
        <v>2586.99</v>
      </c>
      <c r="B93" s="17">
        <v>38.178</v>
      </c>
      <c r="C93" s="17">
        <v>0.9792000000000001</v>
      </c>
      <c r="D93" s="5">
        <v>5.0</v>
      </c>
      <c r="E93" s="7">
        <v>1.0</v>
      </c>
    </row>
    <row r="94">
      <c r="A94" s="18">
        <v>2271.74</v>
      </c>
      <c r="B94" s="19">
        <v>54.136</v>
      </c>
      <c r="C94" s="19">
        <v>0.96</v>
      </c>
      <c r="D94" s="9">
        <v>5.0</v>
      </c>
      <c r="E94" s="10">
        <v>1.0</v>
      </c>
    </row>
    <row r="95">
      <c r="A95" s="16">
        <v>2309.0</v>
      </c>
      <c r="B95" s="17">
        <v>61.74</v>
      </c>
      <c r="C95" s="17">
        <v>0.9311999999999999</v>
      </c>
      <c r="D95" s="5">
        <v>5.0</v>
      </c>
      <c r="E95" s="7">
        <v>1.0</v>
      </c>
    </row>
    <row r="96">
      <c r="A96" s="18">
        <v>1757.0</v>
      </c>
      <c r="B96" s="19">
        <v>68.02</v>
      </c>
      <c r="C96" s="19">
        <v>0.96</v>
      </c>
      <c r="D96" s="9">
        <v>5.0</v>
      </c>
      <c r="E96" s="10">
        <v>1.0</v>
      </c>
    </row>
    <row r="97">
      <c r="A97" s="16">
        <v>3983.04</v>
      </c>
      <c r="B97" s="17">
        <v>16.463</v>
      </c>
      <c r="C97" s="17">
        <v>0.9409000000000001</v>
      </c>
      <c r="D97" s="5">
        <v>5.0</v>
      </c>
      <c r="E97" s="7">
        <v>1.0</v>
      </c>
    </row>
    <row r="98">
      <c r="A98" s="18">
        <v>2376.53</v>
      </c>
      <c r="B98" s="19">
        <v>48.60900000000001</v>
      </c>
      <c r="C98" s="19">
        <v>0.9409000000000001</v>
      </c>
      <c r="D98" s="9">
        <v>5.0</v>
      </c>
      <c r="E98" s="10">
        <v>1.0</v>
      </c>
    </row>
    <row r="99">
      <c r="A99" s="16">
        <v>2546.88</v>
      </c>
      <c r="B99" s="17">
        <v>39.382000000000005</v>
      </c>
      <c r="C99" s="17">
        <v>0.9595</v>
      </c>
      <c r="D99" s="5">
        <v>5.0</v>
      </c>
      <c r="E99" s="7">
        <v>1.0</v>
      </c>
    </row>
    <row r="100" hidden="1">
      <c r="A100" s="11">
        <v>0.0</v>
      </c>
      <c r="B100" s="12">
        <v>0.0</v>
      </c>
      <c r="C100" s="12">
        <v>0.0</v>
      </c>
      <c r="D100" s="13">
        <v>1.0</v>
      </c>
      <c r="E100" s="14">
        <v>100.0</v>
      </c>
      <c r="G100" s="15" t="s">
        <v>5</v>
      </c>
    </row>
  </sheetData>
  <mergeCells count="1">
    <mergeCell ref="G100:H100"/>
  </mergeCells>
  <dataValidations>
    <dataValidation type="custom" allowBlank="1" showDropDown="1" sqref="A3:C100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88"/>
    <col customWidth="1" min="3" max="3" width="22.75"/>
    <col customWidth="1" min="4" max="4" width="21.75"/>
    <col customWidth="1" min="5" max="5" width="20.38"/>
    <col customWidth="1" min="6" max="6" width="21.75"/>
    <col customWidth="1" min="7" max="7" width="20.38"/>
  </cols>
  <sheetData>
    <row r="1">
      <c r="A1" s="20" t="s">
        <v>0</v>
      </c>
      <c r="B1" s="21" t="s">
        <v>6</v>
      </c>
      <c r="C1" s="22" t="s">
        <v>7</v>
      </c>
      <c r="D1" s="21" t="s">
        <v>8</v>
      </c>
      <c r="E1" s="21" t="s">
        <v>9</v>
      </c>
      <c r="F1" s="21" t="s">
        <v>10</v>
      </c>
      <c r="G1" s="23" t="s">
        <v>11</v>
      </c>
    </row>
    <row r="2">
      <c r="A2" s="24">
        <v>200.0</v>
      </c>
      <c r="B2" s="25">
        <v>2000.0</v>
      </c>
      <c r="C2" s="26">
        <v>95.0</v>
      </c>
      <c r="D2" s="27">
        <v>1300.0</v>
      </c>
      <c r="E2" s="25">
        <v>65.0</v>
      </c>
      <c r="F2" s="25">
        <v>600.0</v>
      </c>
      <c r="G2" s="28">
        <v>41.0</v>
      </c>
    </row>
    <row r="3">
      <c r="A3" s="29">
        <v>500.0</v>
      </c>
      <c r="B3" s="30">
        <v>5000.0</v>
      </c>
      <c r="C3" s="31">
        <v>95.0</v>
      </c>
      <c r="D3" s="32">
        <v>3700.0</v>
      </c>
      <c r="E3" s="30">
        <v>65.0</v>
      </c>
      <c r="F3" s="30">
        <v>2500.0</v>
      </c>
      <c r="G3" s="33">
        <v>41.0</v>
      </c>
    </row>
    <row r="4">
      <c r="A4" s="34">
        <v>1000.0</v>
      </c>
      <c r="B4" s="25">
        <v>10000.0</v>
      </c>
      <c r="C4" s="26">
        <v>95.0</v>
      </c>
      <c r="D4" s="35">
        <v>6900.0</v>
      </c>
      <c r="E4" s="25">
        <v>65.0</v>
      </c>
      <c r="F4" s="25">
        <v>4500.0</v>
      </c>
      <c r="G4" s="28">
        <v>41.0</v>
      </c>
    </row>
    <row r="5">
      <c r="A5" s="36">
        <v>1650.0</v>
      </c>
      <c r="B5" s="30">
        <v>16000.0</v>
      </c>
      <c r="C5" s="31">
        <v>95.0</v>
      </c>
      <c r="D5" s="30">
        <v>10200.0</v>
      </c>
      <c r="E5" s="30">
        <v>65.0</v>
      </c>
      <c r="F5" s="30">
        <v>6200.0</v>
      </c>
      <c r="G5" s="33">
        <v>41.0</v>
      </c>
    </row>
    <row r="6">
      <c r="A6" s="34">
        <v>2000.0</v>
      </c>
      <c r="B6" s="25">
        <v>17800.0</v>
      </c>
      <c r="C6" s="37">
        <v>85.0</v>
      </c>
      <c r="D6" s="25">
        <v>13100.0</v>
      </c>
      <c r="E6" s="25">
        <v>65.0</v>
      </c>
      <c r="F6" s="25">
        <v>8500.0</v>
      </c>
      <c r="G6" s="28">
        <v>41.0</v>
      </c>
    </row>
    <row r="7">
      <c r="A7" s="36">
        <v>2300.0</v>
      </c>
      <c r="B7" s="30">
        <v>17500.0</v>
      </c>
      <c r="C7" s="31">
        <v>73.0</v>
      </c>
      <c r="D7" s="30">
        <v>15500.0</v>
      </c>
      <c r="E7" s="30">
        <v>65.0</v>
      </c>
      <c r="F7" s="30">
        <v>10000.0</v>
      </c>
      <c r="G7" s="33">
        <v>41.0</v>
      </c>
    </row>
    <row r="8">
      <c r="A8" s="34">
        <v>2500.0</v>
      </c>
      <c r="B8" s="25">
        <v>16000.0</v>
      </c>
      <c r="C8" s="26">
        <v>63.0</v>
      </c>
      <c r="D8" s="25">
        <v>14000.0</v>
      </c>
      <c r="E8" s="38">
        <v>55.0</v>
      </c>
      <c r="F8" s="25">
        <v>11000.0</v>
      </c>
      <c r="G8" s="28">
        <v>41.0</v>
      </c>
    </row>
    <row r="9">
      <c r="A9" s="29">
        <v>3000.0</v>
      </c>
      <c r="B9" s="30">
        <v>14700.0</v>
      </c>
      <c r="C9" s="31">
        <v>47.0</v>
      </c>
      <c r="D9" s="30">
        <v>13000.0</v>
      </c>
      <c r="E9" s="30">
        <v>43.0</v>
      </c>
      <c r="F9" s="30">
        <v>12000.0</v>
      </c>
      <c r="G9" s="33">
        <v>38.0</v>
      </c>
    </row>
    <row r="10">
      <c r="A10" s="24">
        <v>3500.0</v>
      </c>
      <c r="B10" s="25">
        <v>11900.0</v>
      </c>
      <c r="C10" s="26">
        <v>32.0</v>
      </c>
      <c r="D10" s="25">
        <v>11500.0</v>
      </c>
      <c r="E10" s="25">
        <v>31.0</v>
      </c>
      <c r="F10" s="25">
        <v>11000.0</v>
      </c>
      <c r="G10" s="28">
        <v>30.0</v>
      </c>
    </row>
    <row r="11">
      <c r="A11" s="29">
        <v>4000.0</v>
      </c>
      <c r="B11" s="30">
        <v>10100.0</v>
      </c>
      <c r="C11" s="31">
        <v>25.0</v>
      </c>
      <c r="D11" s="30">
        <v>10100.0</v>
      </c>
      <c r="E11" s="31">
        <v>25.0</v>
      </c>
      <c r="F11" s="30">
        <v>10100.0</v>
      </c>
      <c r="G11" s="33">
        <v>25.0</v>
      </c>
    </row>
    <row r="12">
      <c r="A12" s="39">
        <v>4500.0</v>
      </c>
      <c r="B12" s="40">
        <v>9500.0</v>
      </c>
      <c r="C12" s="41">
        <v>20.0</v>
      </c>
      <c r="D12" s="40">
        <v>9500.0</v>
      </c>
      <c r="E12" s="40">
        <v>20.0</v>
      </c>
      <c r="F12" s="40">
        <v>9500.0</v>
      </c>
      <c r="G12" s="42">
        <v>20.0</v>
      </c>
    </row>
    <row r="14">
      <c r="A14" s="43"/>
      <c r="B14" s="44"/>
      <c r="C14" s="44"/>
      <c r="D14" s="44"/>
      <c r="E14" s="44"/>
      <c r="F14" s="44"/>
      <c r="G14" s="44"/>
    </row>
    <row r="15">
      <c r="A15" s="45"/>
      <c r="B15" s="45"/>
      <c r="C15" s="45"/>
      <c r="D15" s="45"/>
      <c r="E15" s="45"/>
      <c r="F15" s="45"/>
      <c r="G15" s="45"/>
    </row>
    <row r="16">
      <c r="A16" s="45"/>
      <c r="B16" s="45"/>
      <c r="C16" s="45"/>
      <c r="D16" s="45"/>
      <c r="E16" s="45"/>
      <c r="F16" s="45"/>
      <c r="G16" s="45"/>
    </row>
    <row r="17">
      <c r="A17" s="45"/>
      <c r="B17" s="45"/>
      <c r="C17" s="45"/>
      <c r="D17" s="45"/>
      <c r="E17" s="45"/>
      <c r="F17" s="45"/>
      <c r="G17" s="45"/>
    </row>
    <row r="18">
      <c r="A18" s="45"/>
      <c r="B18" s="45"/>
      <c r="C18" s="45"/>
      <c r="D18" s="45"/>
      <c r="E18" s="45"/>
      <c r="F18" s="45"/>
      <c r="G18" s="45"/>
    </row>
    <row r="19">
      <c r="A19" s="45"/>
      <c r="B19" s="45"/>
      <c r="C19" s="45"/>
      <c r="D19" s="45"/>
      <c r="E19" s="45"/>
      <c r="F19" s="45"/>
      <c r="G19" s="45"/>
    </row>
    <row r="20">
      <c r="A20" s="45"/>
      <c r="B20" s="45"/>
      <c r="C20" s="45"/>
      <c r="D20" s="45"/>
      <c r="E20" s="45"/>
      <c r="F20" s="45"/>
      <c r="G20" s="45"/>
    </row>
    <row r="21">
      <c r="A21" s="45"/>
      <c r="B21" s="45"/>
      <c r="C21" s="45"/>
      <c r="D21" s="45"/>
      <c r="E21" s="45"/>
      <c r="F21" s="45"/>
      <c r="G21" s="45"/>
    </row>
  </sheetData>
  <dataValidations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88"/>
    <col customWidth="1" min="3" max="3" width="22.75"/>
    <col customWidth="1" min="4" max="4" width="21.75"/>
    <col customWidth="1" min="5" max="5" width="20.38"/>
    <col customWidth="1" min="6" max="6" width="21.75"/>
    <col customWidth="1" min="7" max="7" width="20.38"/>
  </cols>
  <sheetData>
    <row r="1">
      <c r="A1" s="20" t="s">
        <v>0</v>
      </c>
      <c r="B1" s="21" t="s">
        <v>6</v>
      </c>
      <c r="C1" s="22" t="s">
        <v>7</v>
      </c>
      <c r="D1" s="21" t="s">
        <v>8</v>
      </c>
      <c r="E1" s="21" t="s">
        <v>9</v>
      </c>
      <c r="F1" s="21" t="s">
        <v>10</v>
      </c>
      <c r="G1" s="23" t="s">
        <v>11</v>
      </c>
    </row>
    <row r="2">
      <c r="A2" s="24">
        <f>'Carac Orig'!A2</f>
        <v>200</v>
      </c>
      <c r="B2" s="25">
        <f>'Carac Orig'!B2</f>
        <v>2000</v>
      </c>
      <c r="C2" s="26">
        <f>'Carac Orig'!C2*$C$14</f>
        <v>92.15</v>
      </c>
      <c r="D2" s="26">
        <f>'Carac Orig'!D2*$D$14</f>
        <v>1339</v>
      </c>
      <c r="E2" s="26">
        <f>'Carac Orig'!E2*$E$14</f>
        <v>66.95</v>
      </c>
      <c r="F2" s="26">
        <f>'Carac Orig'!F2*$F$14</f>
        <v>612</v>
      </c>
      <c r="G2" s="46">
        <f>'Carac Orig'!G2*$G$14</f>
        <v>42.23</v>
      </c>
    </row>
    <row r="3">
      <c r="A3" s="36">
        <f>'Carac Orig'!A3</f>
        <v>500</v>
      </c>
      <c r="B3" s="30">
        <f>'Carac Orig'!B3</f>
        <v>5000</v>
      </c>
      <c r="C3" s="31">
        <f>'Carac Orig'!C3*$C$14</f>
        <v>92.15</v>
      </c>
      <c r="D3" s="31">
        <f>'Carac Orig'!D3*$D$14</f>
        <v>3811</v>
      </c>
      <c r="E3" s="31">
        <f>'Carac Orig'!E3*$E$14</f>
        <v>66.95</v>
      </c>
      <c r="F3" s="31">
        <f>'Carac Orig'!F3*$F$14</f>
        <v>2550</v>
      </c>
      <c r="G3" s="47">
        <f>'Carac Orig'!G3*$G$14</f>
        <v>42.23</v>
      </c>
    </row>
    <row r="4">
      <c r="A4" s="24">
        <f>'Carac Orig'!A4</f>
        <v>1000</v>
      </c>
      <c r="B4" s="25">
        <f>'Carac Orig'!B4</f>
        <v>10000</v>
      </c>
      <c r="C4" s="26">
        <f>'Carac Orig'!C4*$C$14</f>
        <v>92.15</v>
      </c>
      <c r="D4" s="26">
        <f>'Carac Orig'!D4*$D$14</f>
        <v>7107</v>
      </c>
      <c r="E4" s="26">
        <f>'Carac Orig'!E4*$E$14</f>
        <v>66.95</v>
      </c>
      <c r="F4" s="26">
        <f>'Carac Orig'!F4*$F$14</f>
        <v>4590</v>
      </c>
      <c r="G4" s="46">
        <f>'Carac Orig'!G4*$G$14</f>
        <v>42.23</v>
      </c>
    </row>
    <row r="5">
      <c r="A5" s="36">
        <f>'Carac Orig'!A5</f>
        <v>1650</v>
      </c>
      <c r="B5" s="30">
        <f>'Carac Orig'!B5</f>
        <v>16000</v>
      </c>
      <c r="C5" s="31">
        <f>'Carac Orig'!C5*$C$14</f>
        <v>92.15</v>
      </c>
      <c r="D5" s="31">
        <f>'Carac Orig'!D5*$D$14</f>
        <v>10506</v>
      </c>
      <c r="E5" s="31">
        <f>'Carac Orig'!E5*$E$14</f>
        <v>66.95</v>
      </c>
      <c r="F5" s="31">
        <f>'Carac Orig'!F5*$F$14</f>
        <v>6324</v>
      </c>
      <c r="G5" s="47">
        <f>'Carac Orig'!G5*$G$14</f>
        <v>42.23</v>
      </c>
    </row>
    <row r="6">
      <c r="A6" s="24">
        <f>'Carac Orig'!A6</f>
        <v>2000</v>
      </c>
      <c r="B6" s="25">
        <f>'Carac Orig'!B6</f>
        <v>17800</v>
      </c>
      <c r="C6" s="26">
        <f>'Carac Orig'!C6*$C$14</f>
        <v>82.45</v>
      </c>
      <c r="D6" s="26">
        <f>'Carac Orig'!D6*$D$14</f>
        <v>13493</v>
      </c>
      <c r="E6" s="26">
        <f>'Carac Orig'!E6*$E$14</f>
        <v>66.95</v>
      </c>
      <c r="F6" s="26">
        <f>'Carac Orig'!F6*$F$14</f>
        <v>8670</v>
      </c>
      <c r="G6" s="46">
        <f>'Carac Orig'!G6*$G$14</f>
        <v>42.23</v>
      </c>
    </row>
    <row r="7">
      <c r="A7" s="36">
        <f>'Carac Orig'!A7</f>
        <v>2300</v>
      </c>
      <c r="B7" s="30">
        <f>'Carac Orig'!B7</f>
        <v>17500</v>
      </c>
      <c r="C7" s="31">
        <f>'Carac Orig'!C7*$C$14</f>
        <v>70.81</v>
      </c>
      <c r="D7" s="31">
        <f>'Carac Orig'!D7*$D$14</f>
        <v>15965</v>
      </c>
      <c r="E7" s="31">
        <f>'Carac Orig'!E7*$E$14</f>
        <v>66.95</v>
      </c>
      <c r="F7" s="31">
        <f>'Carac Orig'!F7*$F$14</f>
        <v>10200</v>
      </c>
      <c r="G7" s="47">
        <f>'Carac Orig'!G7*$G$14</f>
        <v>42.23</v>
      </c>
    </row>
    <row r="8">
      <c r="A8" s="24">
        <f>'Carac Orig'!A8</f>
        <v>2500</v>
      </c>
      <c r="B8" s="25">
        <f>'Carac Orig'!B8</f>
        <v>16000</v>
      </c>
      <c r="C8" s="26">
        <f>'Carac Orig'!C8*$C$14</f>
        <v>61.11</v>
      </c>
      <c r="D8" s="26">
        <f>'Carac Orig'!D8*$D$14</f>
        <v>14420</v>
      </c>
      <c r="E8" s="26">
        <f>'Carac Orig'!E8*$E$14</f>
        <v>56.65</v>
      </c>
      <c r="F8" s="26">
        <f>'Carac Orig'!F8*$F$14</f>
        <v>11220</v>
      </c>
      <c r="G8" s="46">
        <f>'Carac Orig'!G8*$G$14</f>
        <v>42.23</v>
      </c>
    </row>
    <row r="9">
      <c r="A9" s="36">
        <f>'Carac Orig'!A9</f>
        <v>3000</v>
      </c>
      <c r="B9" s="30">
        <f>'Carac Orig'!B9</f>
        <v>14700</v>
      </c>
      <c r="C9" s="31">
        <f>'Carac Orig'!C9*$C$14</f>
        <v>45.59</v>
      </c>
      <c r="D9" s="31">
        <f>'Carac Orig'!D9*$D$14</f>
        <v>13390</v>
      </c>
      <c r="E9" s="31">
        <f>'Carac Orig'!E9*$E$14</f>
        <v>44.29</v>
      </c>
      <c r="F9" s="31">
        <f>'Carac Orig'!F9*$F$14</f>
        <v>12240</v>
      </c>
      <c r="G9" s="47">
        <f>'Carac Orig'!G9*$G$14</f>
        <v>39.14</v>
      </c>
    </row>
    <row r="10">
      <c r="A10" s="24">
        <f>'Carac Orig'!A10</f>
        <v>3500</v>
      </c>
      <c r="B10" s="25">
        <f>'Carac Orig'!B10</f>
        <v>11900</v>
      </c>
      <c r="C10" s="26">
        <f>'Carac Orig'!C10*$C$14</f>
        <v>31.04</v>
      </c>
      <c r="D10" s="26">
        <f>'Carac Orig'!D10*$D$14</f>
        <v>11845</v>
      </c>
      <c r="E10" s="26">
        <f>'Carac Orig'!E10*$E$14</f>
        <v>31.93</v>
      </c>
      <c r="F10" s="26">
        <f>'Carac Orig'!F10*$F$14</f>
        <v>11220</v>
      </c>
      <c r="G10" s="46">
        <f>'Carac Orig'!G10*$G$14</f>
        <v>30.9</v>
      </c>
    </row>
    <row r="11">
      <c r="A11" s="36">
        <f>'Carac Orig'!A11</f>
        <v>4000</v>
      </c>
      <c r="B11" s="30">
        <f>'Carac Orig'!B11</f>
        <v>10100</v>
      </c>
      <c r="C11" s="31">
        <f>'Carac Orig'!C11*$C$14</f>
        <v>24.25</v>
      </c>
      <c r="D11" s="31">
        <f>'Carac Orig'!D11*$D$14</f>
        <v>10403</v>
      </c>
      <c r="E11" s="31">
        <f>'Carac Orig'!E11*$E$14</f>
        <v>25.75</v>
      </c>
      <c r="F11" s="31">
        <f>'Carac Orig'!F11*$F$14</f>
        <v>10302</v>
      </c>
      <c r="G11" s="47">
        <f>'Carac Orig'!G11*$G$14</f>
        <v>25.75</v>
      </c>
    </row>
    <row r="12">
      <c r="A12" s="48">
        <f>'Carac Orig'!A12</f>
        <v>4500</v>
      </c>
      <c r="B12" s="40">
        <f>'Carac Orig'!B12</f>
        <v>9500</v>
      </c>
      <c r="C12" s="41">
        <f>'Carac Orig'!C12*$C$14</f>
        <v>19.4</v>
      </c>
      <c r="D12" s="41">
        <f>'Carac Orig'!D12*$D$14</f>
        <v>9785</v>
      </c>
      <c r="E12" s="41">
        <f>'Carac Orig'!E12*$E$14</f>
        <v>20.6</v>
      </c>
      <c r="F12" s="41">
        <f>'Carac Orig'!F12*$F$14</f>
        <v>9690</v>
      </c>
      <c r="G12" s="49">
        <f>'Carac Orig'!G12*$G$14</f>
        <v>20.6</v>
      </c>
    </row>
    <row r="14">
      <c r="A14" s="43" t="s">
        <v>12</v>
      </c>
      <c r="B14" s="44"/>
      <c r="C14" s="44">
        <f t="shared" ref="C14:G14" si="1">RANDBETWEEN(97, 103)/100</f>
        <v>0.97</v>
      </c>
      <c r="D14" s="44">
        <f t="shared" si="1"/>
        <v>1.03</v>
      </c>
      <c r="E14" s="44">
        <f t="shared" si="1"/>
        <v>1.03</v>
      </c>
      <c r="F14" s="44">
        <f t="shared" si="1"/>
        <v>1.02</v>
      </c>
      <c r="G14" s="44">
        <f t="shared" si="1"/>
        <v>1.03</v>
      </c>
    </row>
    <row r="15">
      <c r="A15" s="45"/>
      <c r="B15" s="45"/>
      <c r="C15" s="45"/>
      <c r="D15" s="45"/>
      <c r="E15" s="45"/>
      <c r="F15" s="45"/>
      <c r="G15" s="45"/>
    </row>
    <row r="16">
      <c r="A16" s="45"/>
      <c r="B16" s="45"/>
      <c r="C16" s="45"/>
      <c r="D16" s="50"/>
      <c r="E16" s="45"/>
      <c r="F16" s="45"/>
      <c r="G16" s="45"/>
    </row>
    <row r="17">
      <c r="A17" s="45"/>
      <c r="B17" s="45"/>
      <c r="C17" s="45"/>
      <c r="D17" s="45"/>
      <c r="E17" s="45"/>
      <c r="F17" s="45"/>
      <c r="G17" s="45"/>
    </row>
    <row r="18">
      <c r="A18" s="45"/>
      <c r="B18" s="45"/>
      <c r="C18" s="45"/>
      <c r="D18" s="45"/>
      <c r="E18" s="45"/>
      <c r="F18" s="45"/>
      <c r="G18" s="45"/>
    </row>
    <row r="19">
      <c r="A19" s="45"/>
      <c r="B19" s="45"/>
      <c r="C19" s="45"/>
      <c r="D19" s="45"/>
      <c r="E19" s="45"/>
      <c r="F19" s="45"/>
      <c r="G19" s="45"/>
    </row>
    <row r="20">
      <c r="A20" s="45"/>
      <c r="B20" s="45"/>
      <c r="C20" s="45"/>
      <c r="D20" s="45"/>
      <c r="E20" s="45"/>
      <c r="F20" s="45"/>
      <c r="G20" s="45"/>
    </row>
    <row r="21">
      <c r="A21" s="45"/>
      <c r="B21" s="45"/>
      <c r="C21" s="45"/>
      <c r="D21" s="45"/>
      <c r="E21" s="45"/>
      <c r="F21" s="45"/>
      <c r="G21" s="45"/>
    </row>
  </sheetData>
  <dataValidations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88"/>
    <col customWidth="1" min="3" max="3" width="22.75"/>
    <col customWidth="1" min="4" max="4" width="21.75"/>
    <col customWidth="1" min="5" max="5" width="20.38"/>
    <col customWidth="1" min="6" max="6" width="21.75"/>
    <col customWidth="1" min="7" max="7" width="20.38"/>
  </cols>
  <sheetData>
    <row r="1">
      <c r="A1" s="51" t="s">
        <v>0</v>
      </c>
      <c r="B1" s="52" t="s">
        <v>6</v>
      </c>
      <c r="C1" s="53" t="s">
        <v>7</v>
      </c>
      <c r="D1" s="52" t="s">
        <v>8</v>
      </c>
      <c r="E1" s="52" t="s">
        <v>9</v>
      </c>
      <c r="F1" s="52" t="s">
        <v>10</v>
      </c>
      <c r="G1" s="54" t="s">
        <v>11</v>
      </c>
    </row>
    <row r="2">
      <c r="A2" s="55">
        <v>200.0</v>
      </c>
      <c r="B2" s="56">
        <v>2000.0</v>
      </c>
      <c r="C2" s="57">
        <v>96.9</v>
      </c>
      <c r="D2" s="57">
        <v>1287.0</v>
      </c>
      <c r="E2" s="57">
        <v>65.65</v>
      </c>
      <c r="F2" s="57">
        <v>618.0</v>
      </c>
      <c r="G2" s="58">
        <v>41.410000000000004</v>
      </c>
    </row>
    <row r="3">
      <c r="A3" s="59">
        <v>500.0</v>
      </c>
      <c r="B3" s="60">
        <v>5000.0</v>
      </c>
      <c r="C3" s="61">
        <v>96.9</v>
      </c>
      <c r="D3" s="61">
        <v>3663.0</v>
      </c>
      <c r="E3" s="61">
        <v>65.65</v>
      </c>
      <c r="F3" s="61">
        <v>2575.0</v>
      </c>
      <c r="G3" s="62">
        <v>41.410000000000004</v>
      </c>
    </row>
    <row r="4">
      <c r="A4" s="55">
        <v>1000.0</v>
      </c>
      <c r="B4" s="56">
        <v>10000.0</v>
      </c>
      <c r="C4" s="57">
        <v>96.9</v>
      </c>
      <c r="D4" s="57">
        <v>6831.0</v>
      </c>
      <c r="E4" s="57">
        <v>65.65</v>
      </c>
      <c r="F4" s="57">
        <v>4635.0</v>
      </c>
      <c r="G4" s="58">
        <v>41.410000000000004</v>
      </c>
    </row>
    <row r="5">
      <c r="A5" s="59">
        <v>1650.0</v>
      </c>
      <c r="B5" s="60">
        <v>16000.0</v>
      </c>
      <c r="C5" s="61">
        <v>96.9</v>
      </c>
      <c r="D5" s="61">
        <v>10098.0</v>
      </c>
      <c r="E5" s="61">
        <v>65.65</v>
      </c>
      <c r="F5" s="61">
        <v>6386.0</v>
      </c>
      <c r="G5" s="62">
        <v>41.410000000000004</v>
      </c>
    </row>
    <row r="6">
      <c r="A6" s="55">
        <v>2000.0</v>
      </c>
      <c r="B6" s="56">
        <v>17800.0</v>
      </c>
      <c r="C6" s="57">
        <v>86.7</v>
      </c>
      <c r="D6" s="57">
        <v>12969.0</v>
      </c>
      <c r="E6" s="57">
        <v>65.65</v>
      </c>
      <c r="F6" s="57">
        <v>8755.0</v>
      </c>
      <c r="G6" s="58">
        <v>41.410000000000004</v>
      </c>
    </row>
    <row r="7">
      <c r="A7" s="59">
        <v>2300.0</v>
      </c>
      <c r="B7" s="60">
        <v>17500.0</v>
      </c>
      <c r="C7" s="61">
        <v>74.46000000000001</v>
      </c>
      <c r="D7" s="61">
        <v>15345.0</v>
      </c>
      <c r="E7" s="61">
        <v>65.65</v>
      </c>
      <c r="F7" s="61">
        <v>10300.0</v>
      </c>
      <c r="G7" s="62">
        <v>41.410000000000004</v>
      </c>
    </row>
    <row r="8">
      <c r="A8" s="55">
        <v>2500.0</v>
      </c>
      <c r="B8" s="56">
        <v>16000.0</v>
      </c>
      <c r="C8" s="57">
        <v>64.26</v>
      </c>
      <c r="D8" s="57">
        <v>13860.0</v>
      </c>
      <c r="E8" s="57">
        <v>55.55</v>
      </c>
      <c r="F8" s="57">
        <v>11330.0</v>
      </c>
      <c r="G8" s="58">
        <v>41.410000000000004</v>
      </c>
    </row>
    <row r="9">
      <c r="A9" s="59">
        <v>3000.0</v>
      </c>
      <c r="B9" s="60">
        <v>14700.0</v>
      </c>
      <c r="C9" s="61">
        <v>47.94</v>
      </c>
      <c r="D9" s="61">
        <v>12870.0</v>
      </c>
      <c r="E9" s="61">
        <v>43.43</v>
      </c>
      <c r="F9" s="61">
        <v>12360.0</v>
      </c>
      <c r="G9" s="62">
        <v>38.38</v>
      </c>
    </row>
    <row r="10">
      <c r="A10" s="55">
        <v>3500.0</v>
      </c>
      <c r="B10" s="56">
        <v>11900.0</v>
      </c>
      <c r="C10" s="57">
        <v>32.64</v>
      </c>
      <c r="D10" s="57">
        <v>11385.0</v>
      </c>
      <c r="E10" s="57">
        <v>31.31</v>
      </c>
      <c r="F10" s="57">
        <v>11330.0</v>
      </c>
      <c r="G10" s="58">
        <v>30.3</v>
      </c>
    </row>
    <row r="11">
      <c r="A11" s="59">
        <v>4000.0</v>
      </c>
      <c r="B11" s="60">
        <v>10100.0</v>
      </c>
      <c r="C11" s="61">
        <v>25.5</v>
      </c>
      <c r="D11" s="61">
        <v>9999.0</v>
      </c>
      <c r="E11" s="61">
        <v>25.25</v>
      </c>
      <c r="F11" s="61">
        <v>10403.0</v>
      </c>
      <c r="G11" s="62">
        <v>25.25</v>
      </c>
    </row>
    <row r="12">
      <c r="A12" s="63">
        <v>4500.0</v>
      </c>
      <c r="B12" s="64">
        <v>9500.0</v>
      </c>
      <c r="C12" s="65">
        <v>20.4</v>
      </c>
      <c r="D12" s="65">
        <v>9405.0</v>
      </c>
      <c r="E12" s="65">
        <v>20.2</v>
      </c>
      <c r="F12" s="65">
        <v>9785.0</v>
      </c>
      <c r="G12" s="66">
        <v>20.2</v>
      </c>
    </row>
    <row r="14">
      <c r="A14" s="43"/>
      <c r="B14" s="44"/>
      <c r="C14" s="44"/>
      <c r="D14" s="44"/>
      <c r="E14" s="44"/>
      <c r="F14" s="44"/>
      <c r="G14" s="44"/>
    </row>
    <row r="15">
      <c r="A15" s="45"/>
      <c r="B15" s="45"/>
      <c r="C15" s="45"/>
      <c r="D15" s="45"/>
      <c r="E15" s="45"/>
      <c r="F15" s="45"/>
      <c r="G15" s="45"/>
    </row>
    <row r="16">
      <c r="A16" s="45"/>
      <c r="B16" s="45"/>
      <c r="C16" s="45"/>
      <c r="D16" s="50"/>
      <c r="E16" s="45"/>
      <c r="F16" s="45"/>
      <c r="G16" s="45"/>
    </row>
    <row r="17">
      <c r="A17" s="45"/>
      <c r="B17" s="45"/>
      <c r="C17" s="45"/>
      <c r="D17" s="45"/>
      <c r="E17" s="45"/>
      <c r="F17" s="45"/>
      <c r="G17" s="45"/>
    </row>
    <row r="18">
      <c r="A18" s="45"/>
      <c r="B18" s="45"/>
      <c r="C18" s="45"/>
      <c r="D18" s="45"/>
      <c r="E18" s="45"/>
      <c r="F18" s="45"/>
      <c r="G18" s="45"/>
    </row>
    <row r="19">
      <c r="A19" s="45"/>
      <c r="B19" s="45"/>
      <c r="C19" s="45"/>
      <c r="D19" s="45"/>
      <c r="E19" s="45"/>
      <c r="F19" s="45"/>
      <c r="G19" s="45"/>
    </row>
    <row r="20">
      <c r="A20" s="45"/>
      <c r="B20" s="45"/>
      <c r="C20" s="45"/>
      <c r="D20" s="45"/>
      <c r="E20" s="45"/>
      <c r="F20" s="45"/>
      <c r="G20" s="45"/>
    </row>
    <row r="21">
      <c r="A21" s="45"/>
      <c r="B21" s="45"/>
      <c r="C21" s="45"/>
      <c r="D21" s="45"/>
      <c r="E21" s="45"/>
      <c r="F21" s="45"/>
      <c r="G21" s="45"/>
    </row>
  </sheetData>
  <dataValidations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